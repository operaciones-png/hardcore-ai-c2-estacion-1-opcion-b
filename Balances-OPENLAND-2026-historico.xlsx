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pivotTables/pivotTable4.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e8943ccbc7887a3e/Empresas/Balances Mes a Mes/"/>
    </mc:Choice>
  </mc:AlternateContent>
  <xr:revisionPtr revIDLastSave="986" documentId="11_056AEE10E34C41BE1BA76EE8FF9C0033F4BE5781" xr6:coauthVersionLast="47" xr6:coauthVersionMax="47" xr10:uidLastSave="{8FD8FCB9-058E-4844-86F6-49DCD3151D35}"/>
  <bookViews>
    <workbookView xWindow="-110" yWindow="-110" windowWidth="25820" windowHeight="16220" firstSheet="3" activeTab="6" xr2:uid="{00000000-000D-0000-FFFF-FFFF00000000}"/>
  </bookViews>
  <sheets>
    <sheet name="BALANCE ENERO 2026" sheetId="1" r:id="rId1"/>
    <sheet name="COSTOS Y GASTOS ENERO 2026" sheetId="2" r:id="rId2"/>
    <sheet name="BALANCE FEBRERO 2026" sheetId="4" r:id="rId3"/>
    <sheet name="COSTOS Y GASTOS FEBRERO 2026" sheetId="3" r:id="rId4"/>
    <sheet name="BALANCE MARZO 2026" sheetId="5" r:id="rId5"/>
    <sheet name="COSTOS Y GASTOS MARZO 2026" sheetId="6" r:id="rId6"/>
    <sheet name="BALANCE ABRIL 2026" sheetId="7" r:id="rId7"/>
    <sheet name="COSTOS Y GASTOS ABRIL 2026" sheetId="8" r:id="rId8"/>
  </sheets>
  <definedNames>
    <definedName name="_xlnm._FilterDatabase" localSheetId="6" hidden="1">'BALANCE ABRIL 2026'!$C$28:$E$49</definedName>
    <definedName name="_xlnm._FilterDatabase" localSheetId="0" hidden="1">'BALANCE ENERO 2026'!$C$31:$E$51</definedName>
    <definedName name="_xlnm._FilterDatabase" localSheetId="2" hidden="1">'BALANCE FEBRERO 2026'!$C$29:$E$53</definedName>
    <definedName name="_xlnm._FilterDatabase" localSheetId="4" hidden="1">'BALANCE MARZO 2026'!$C$28:$E$49</definedName>
    <definedName name="_xlnm._FilterDatabase" localSheetId="7" hidden="1">'COSTOS Y GASTOS ABRIL 2026'!$C$2:$K$102</definedName>
    <definedName name="_xlnm._FilterDatabase" localSheetId="1" hidden="1">'COSTOS Y GASTOS ENERO 2026'!$C$3:$K$99</definedName>
    <definedName name="_xlnm._FilterDatabase" localSheetId="3" hidden="1">'COSTOS Y GASTOS FEBRERO 2026'!$D$3:$L$106</definedName>
    <definedName name="_xlnm._FilterDatabase" localSheetId="5" hidden="1">'COSTOS Y GASTOS MARZO 2026'!$D$2:$L$161</definedName>
  </definedNames>
  <calcPr calcId="191029"/>
  <pivotCaches>
    <pivotCache cacheId="0" r:id="rId9"/>
    <pivotCache cacheId="1" r:id="rId10"/>
    <pivotCache cacheId="2" r:id="rId11"/>
    <pivotCache cacheId="3"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 i="8" l="1"/>
  <c r="D6" i="7" s="1"/>
  <c r="E195" i="6"/>
  <c r="D6" i="5" s="1"/>
  <c r="I12" i="5" s="1"/>
  <c r="I12" i="7" l="1"/>
  <c r="E12" i="7"/>
  <c r="I11" i="7"/>
  <c r="E11" i="7"/>
  <c r="H85" i="8" s="1"/>
  <c r="I16" i="5"/>
  <c r="E11" i="5"/>
  <c r="I137" i="6" s="1"/>
  <c r="I11" i="5"/>
  <c r="H12" i="5" s="1"/>
  <c r="E12" i="5"/>
  <c r="E139" i="3"/>
  <c r="D6" i="4" s="1"/>
  <c r="I12" i="4" s="1"/>
  <c r="E13" i="7" l="1"/>
  <c r="I13" i="7"/>
  <c r="I16" i="7"/>
  <c r="H16" i="7" s="1"/>
  <c r="H12" i="7"/>
  <c r="I14" i="7" s="1"/>
  <c r="E16" i="7"/>
  <c r="D16" i="7" s="1"/>
  <c r="D12" i="7"/>
  <c r="E14" i="7" s="1"/>
  <c r="I13" i="5"/>
  <c r="I14" i="5"/>
  <c r="H14" i="5" s="1"/>
  <c r="E16" i="5"/>
  <c r="D16" i="5" s="1"/>
  <c r="D12" i="5"/>
  <c r="E13" i="5" s="1"/>
  <c r="H16" i="5"/>
  <c r="I16" i="4"/>
  <c r="E11" i="4"/>
  <c r="I86" i="3" s="1"/>
  <c r="I11" i="4"/>
  <c r="E12" i="4"/>
  <c r="D133" i="2"/>
  <c r="D6" i="1"/>
  <c r="I11" i="1" s="1"/>
  <c r="H14" i="7" l="1"/>
  <c r="D14" i="7"/>
  <c r="E14" i="5"/>
  <c r="D14" i="5" s="1"/>
  <c r="H13" i="5"/>
  <c r="I15" i="5"/>
  <c r="E12" i="1"/>
  <c r="I12" i="1"/>
  <c r="E11" i="1"/>
  <c r="H80" i="2" s="1"/>
  <c r="D12" i="4"/>
  <c r="E16" i="4"/>
  <c r="D16" i="4" s="1"/>
  <c r="H16" i="4"/>
  <c r="H12" i="4"/>
  <c r="I15" i="7" l="1"/>
  <c r="H13" i="7"/>
  <c r="E15" i="7"/>
  <c r="D13" i="7"/>
  <c r="H15" i="5"/>
  <c r="I17" i="5"/>
  <c r="D13" i="5"/>
  <c r="E15" i="5"/>
  <c r="H12" i="1"/>
  <c r="I13" i="4"/>
  <c r="I14" i="4"/>
  <c r="H14" i="4" s="1"/>
  <c r="E14" i="4"/>
  <c r="D14" i="4" s="1"/>
  <c r="E13" i="4"/>
  <c r="D12" i="1"/>
  <c r="E14" i="1" s="1"/>
  <c r="D14" i="1" s="1"/>
  <c r="E16" i="1"/>
  <c r="D16" i="1" s="1"/>
  <c r="I16" i="1"/>
  <c r="H16" i="1" s="1"/>
  <c r="I14" i="1"/>
  <c r="H14" i="1" s="1"/>
  <c r="I13" i="1"/>
  <c r="H13" i="1" s="1"/>
  <c r="E13" i="1"/>
  <c r="H15" i="7" l="1"/>
  <c r="I17" i="7"/>
  <c r="D15" i="7"/>
  <c r="E17" i="7"/>
  <c r="E15" i="4"/>
  <c r="E15" i="1"/>
  <c r="D15" i="5"/>
  <c r="E17" i="5"/>
  <c r="H21" i="5"/>
  <c r="H23" i="5" s="1"/>
  <c r="H17" i="5"/>
  <c r="I15" i="4"/>
  <c r="I15" i="1"/>
  <c r="H15" i="1" s="1"/>
  <c r="D13" i="1"/>
  <c r="D13" i="4"/>
  <c r="H13" i="4"/>
  <c r="H17" i="7" l="1"/>
  <c r="H21" i="7"/>
  <c r="H23" i="7" s="1"/>
  <c r="D17" i="7"/>
  <c r="D21" i="7"/>
  <c r="D23" i="7" s="1"/>
  <c r="D17" i="5"/>
  <c r="D21" i="5"/>
  <c r="D23" i="5" s="1"/>
  <c r="E17" i="1"/>
  <c r="D15" i="1"/>
  <c r="I17" i="1"/>
  <c r="E17" i="4"/>
  <c r="D15" i="4"/>
  <c r="I17" i="4"/>
  <c r="H21" i="4" s="1"/>
  <c r="H15" i="4"/>
  <c r="H17" i="1" l="1"/>
  <c r="H21" i="1"/>
  <c r="D21" i="1"/>
  <c r="D24" i="1" s="1"/>
  <c r="D28" i="1" s="1"/>
  <c r="D17" i="1"/>
  <c r="D21" i="4"/>
  <c r="D17" i="4"/>
  <c r="H17" i="4"/>
  <c r="D24" i="4" l="1"/>
  <c r="D23" i="4"/>
  <c r="D25" i="4" s="1"/>
  <c r="D24" i="5" s="1"/>
  <c r="D25" i="5" s="1"/>
  <c r="D24" i="7" s="1"/>
  <c r="D25" i="7" s="1"/>
  <c r="H23" i="4" l="1"/>
  <c r="H23" i="1" l="1"/>
</calcChain>
</file>

<file path=xl/sharedStrings.xml><?xml version="1.0" encoding="utf-8"?>
<sst xmlns="http://schemas.openxmlformats.org/spreadsheetml/2006/main" count="3034" uniqueCount="862">
  <si>
    <t>CONCEPTO</t>
  </si>
  <si>
    <t>PROPORCION SOBRE EL INGRESO TOTAL</t>
  </si>
  <si>
    <t>MONTO (COP)</t>
  </si>
  <si>
    <t>INGRESO TOTAL</t>
  </si>
  <si>
    <t>INGRESOS POR VENTAS KIMBO</t>
  </si>
  <si>
    <t>INGRESOS POR VENTAS CALICHE</t>
  </si>
  <si>
    <t>(-) COSTOS DE PRODUCCION</t>
  </si>
  <si>
    <t>(=) UTILIDAD BRUTA</t>
  </si>
  <si>
    <t>(-) GASTOS OPERATIVOS</t>
  </si>
  <si>
    <t>(=) UTILIDAD OPERACIONAL</t>
  </si>
  <si>
    <t>(-) REGALIAS ANH (8%)</t>
  </si>
  <si>
    <t xml:space="preserve">RETORNO A LA INVERSION (KIMBO) </t>
  </si>
  <si>
    <t>VALOR</t>
  </si>
  <si>
    <t>UTILIDAD BRUTA</t>
  </si>
  <si>
    <t>PORCENTAJE PARA RECUPERACION</t>
  </si>
  <si>
    <t>PORCENTAJE POR CONTRATO</t>
  </si>
  <si>
    <t>GANANCIA TOTAL</t>
  </si>
  <si>
    <t>ABONO PARA RECUPERACION</t>
  </si>
  <si>
    <t>SALDO INVERSION</t>
  </si>
  <si>
    <t>SALDO PENDIENTE POR RECUPERAR</t>
  </si>
  <si>
    <t xml:space="preserve">         </t>
  </si>
  <si>
    <t>Total</t>
  </si>
  <si>
    <t>Porcentaje</t>
  </si>
  <si>
    <t>Nominas y prestaciones (Nominas, Examenes medicos, dotacion, Seguridad social)</t>
  </si>
  <si>
    <t>Servicio transporte agua de produccion</t>
  </si>
  <si>
    <t>Arrendamientos Operativos</t>
  </si>
  <si>
    <t>Honorarios Administrativos</t>
  </si>
  <si>
    <t>Comunidades</t>
  </si>
  <si>
    <t>Servicios Integrales (Multiples servicios para el desarrollo de la operación en campo)</t>
  </si>
  <si>
    <t>Mantenimiento vias (Transportes de maquinaria, materiales de cantera, irrigacion via)</t>
  </si>
  <si>
    <t>Repuestos Generales</t>
  </si>
  <si>
    <t>Provision Recursos Humanos</t>
  </si>
  <si>
    <t>Insumos ferreteria</t>
  </si>
  <si>
    <t>Quimicos (quimicos Generales, Quimica para produccion, productos de aseo)</t>
  </si>
  <si>
    <t>Provision equipo petrolero</t>
  </si>
  <si>
    <t>Honorarios Operativos</t>
  </si>
  <si>
    <t>Total general</t>
  </si>
  <si>
    <t>TOTAL BARRILES PRODUCIDOS KIMBO ENERO 2026                                                                       (FORMAS DE PRODUCCION FISCALIZADAS ANH)</t>
  </si>
  <si>
    <t xml:space="preserve">PRECIO PROMEDIO DE VENTA BRENT ENERO 2026  </t>
  </si>
  <si>
    <t xml:space="preserve">TRM PROMEDIO ENERO 2026  </t>
  </si>
  <si>
    <r>
      <t xml:space="preserve">BALANCE KIMBO ENERO 2026 </t>
    </r>
    <r>
      <rPr>
        <sz val="11"/>
        <color theme="1"/>
        <rFont val="Calibri"/>
        <family val="2"/>
        <scheme val="minor"/>
      </rPr>
      <t xml:space="preserve"> </t>
    </r>
  </si>
  <si>
    <t xml:space="preserve">BALANCE CALICHE ENERO 2026 </t>
  </si>
  <si>
    <t xml:space="preserve">PAGADA </t>
  </si>
  <si>
    <t>WORLD OFFICE COLOMBIA S.A.S</t>
  </si>
  <si>
    <t>PZVP 327311</t>
  </si>
  <si>
    <t>PAGADA</t>
  </si>
  <si>
    <t xml:space="preserve">NOMINA </t>
  </si>
  <si>
    <t>Primer quincena enero 2026</t>
  </si>
  <si>
    <t>TONNER E IMPRESORAS</t>
  </si>
  <si>
    <t>Orden de  Compra  251238</t>
  </si>
  <si>
    <t>AGREGADOS PETREOS DEL ARIPORO</t>
  </si>
  <si>
    <t>FE 855</t>
  </si>
  <si>
    <t>FE 856</t>
  </si>
  <si>
    <t>CLARO</t>
  </si>
  <si>
    <t>Internet oficina</t>
  </si>
  <si>
    <t>Servicios (Administracion, Energia, internet, telefonia y television)</t>
  </si>
  <si>
    <t>3 - 292425073</t>
  </si>
  <si>
    <t>Television campo</t>
  </si>
  <si>
    <t>R1130798491</t>
  </si>
  <si>
    <t>Telefonia oficina</t>
  </si>
  <si>
    <t>3 - 292446175</t>
  </si>
  <si>
    <t xml:space="preserve">CLARO </t>
  </si>
  <si>
    <t>R1130798498</t>
  </si>
  <si>
    <t>EDIFICIO TORRE PACIFIC</t>
  </si>
  <si>
    <t>Administracion oficina</t>
  </si>
  <si>
    <t>TP 32512</t>
  </si>
  <si>
    <t>Energia oficina</t>
  </si>
  <si>
    <t>TP 325607</t>
  </si>
  <si>
    <t>ELOGY TECNOLOGIA ECOLOGICA S.A.S</t>
  </si>
  <si>
    <t>Tratamiento y disposicion final de agua</t>
  </si>
  <si>
    <t>ELEC 1073</t>
  </si>
  <si>
    <t>EMMANUEL DOTACIONES</t>
  </si>
  <si>
    <t>CT1 7389</t>
  </si>
  <si>
    <t>Jose del Carmen Rojas</t>
  </si>
  <si>
    <t>Insumos campo</t>
  </si>
  <si>
    <t>N 50038</t>
  </si>
  <si>
    <t>N 49993</t>
  </si>
  <si>
    <t>Martha Duralva Riay</t>
  </si>
  <si>
    <t>Transporte de grua</t>
  </si>
  <si>
    <t>Cuenta de cobro 20250126</t>
  </si>
  <si>
    <t>Oscar Humberto Araque</t>
  </si>
  <si>
    <t>Revisoria fiscal</t>
  </si>
  <si>
    <t>Cuenta de cobro 202512</t>
  </si>
  <si>
    <t>Santiago Morales</t>
  </si>
  <si>
    <t>Legalizacion gastos</t>
  </si>
  <si>
    <t>Arrendamientos Administrativos</t>
  </si>
  <si>
    <t>Legalizacion</t>
  </si>
  <si>
    <t>MANGUERAS Y RACORES</t>
  </si>
  <si>
    <t>Cotizacion 371</t>
  </si>
  <si>
    <t>CHARWELD E.U</t>
  </si>
  <si>
    <t>FEV 1261</t>
  </si>
  <si>
    <t>Dhameliz Avellaneda</t>
  </si>
  <si>
    <t>Cuenta de cobro 001</t>
  </si>
  <si>
    <t>CT1 7454</t>
  </si>
  <si>
    <t>Jeimy Lorena Alvarado</t>
  </si>
  <si>
    <t>Consultoria en implementacion y diseno del sistema de gestion y salud en el trabajo</t>
  </si>
  <si>
    <t>Cuenta de cobro 012</t>
  </si>
  <si>
    <t>Nhora Rocio Pacativa</t>
  </si>
  <si>
    <t>Dotacion Personal</t>
  </si>
  <si>
    <t>Orden de compra 260107</t>
  </si>
  <si>
    <t>ENVIOIL ENVIROMENTAL OIL SERVICES S.A.S</t>
  </si>
  <si>
    <t>ENVI 92</t>
  </si>
  <si>
    <t>Fabio Jacinto Miller</t>
  </si>
  <si>
    <t xml:space="preserve">Servicio de alquiler vehiculo </t>
  </si>
  <si>
    <t>FELT 50</t>
  </si>
  <si>
    <t>FORPETROIL S.A.S</t>
  </si>
  <si>
    <t>FACT 6</t>
  </si>
  <si>
    <t>ITAU</t>
  </si>
  <si>
    <t>Comision Fondo de Abandono</t>
  </si>
  <si>
    <t>N 195354</t>
  </si>
  <si>
    <t>N 49722</t>
  </si>
  <si>
    <t>Jose James Correa</t>
  </si>
  <si>
    <t>Cuenta de cobro 0022025</t>
  </si>
  <si>
    <t>Lubdy londoño</t>
  </si>
  <si>
    <t>Examenes medicos</t>
  </si>
  <si>
    <t>FELL 2060</t>
  </si>
  <si>
    <t>Luis Fernando Perez Tabaco</t>
  </si>
  <si>
    <t>FE 206</t>
  </si>
  <si>
    <t>LYT SERVICES SAS</t>
  </si>
  <si>
    <t>FE 3557</t>
  </si>
  <si>
    <t>FE 3558</t>
  </si>
  <si>
    <t>FE 3559</t>
  </si>
  <si>
    <t>Mauricio Florez</t>
  </si>
  <si>
    <t>Examen medico</t>
  </si>
  <si>
    <t>FAM 2806</t>
  </si>
  <si>
    <t>PETROREPUESTOS</t>
  </si>
  <si>
    <t>Repuestos de Equipo Petrolero</t>
  </si>
  <si>
    <t>FAC 3733</t>
  </si>
  <si>
    <t> Repuestos de Equipo Petrolero</t>
  </si>
  <si>
    <t>FAC 3738</t>
  </si>
  <si>
    <t>FAC 3739</t>
  </si>
  <si>
    <t>TRANSPORTES MULTICARGA S.A.S</t>
  </si>
  <si>
    <t>Transporte agua crudo</t>
  </si>
  <si>
    <t>FETM 9257</t>
  </si>
  <si>
    <t>FE 9297</t>
  </si>
  <si>
    <t>DON DOTACION</t>
  </si>
  <si>
    <t>Orden de compra 260110</t>
  </si>
  <si>
    <t>NOMINA</t>
  </si>
  <si>
    <t xml:space="preserve">Nomina Operativa </t>
  </si>
  <si>
    <t xml:space="preserve">Nomina Administrativa </t>
  </si>
  <si>
    <t>INVERSIONES RIVEROS</t>
  </si>
  <si>
    <t>ACPM</t>
  </si>
  <si>
    <t>Combustible</t>
  </si>
  <si>
    <t>CBPZ 921</t>
  </si>
  <si>
    <t xml:space="preserve">BAUDILIO GOMEZ CAMACHO </t>
  </si>
  <si>
    <t>FE 122</t>
  </si>
  <si>
    <t>FE 120</t>
  </si>
  <si>
    <t>FE 866</t>
  </si>
  <si>
    <t>CAMPAMENTOS CASANARE</t>
  </si>
  <si>
    <t>A 3547</t>
  </si>
  <si>
    <t>FEV 1264</t>
  </si>
  <si>
    <t>Orden de compra 260118</t>
  </si>
  <si>
    <t>TP 32752</t>
  </si>
  <si>
    <t>TP 32804</t>
  </si>
  <si>
    <t>ELEC 1080</t>
  </si>
  <si>
    <t>RMY 1327</t>
  </si>
  <si>
    <t>CT1 7550</t>
  </si>
  <si>
    <t>ESTANDAR OIL SAS</t>
  </si>
  <si>
    <t>STFE 26</t>
  </si>
  <si>
    <t>STFE 27</t>
  </si>
  <si>
    <t>STFE 28</t>
  </si>
  <si>
    <t>STFE 29</t>
  </si>
  <si>
    <t>INDETRO INGENIERIA LTDA</t>
  </si>
  <si>
    <t>FV 7952</t>
  </si>
  <si>
    <t>N 49690</t>
  </si>
  <si>
    <t>N 49691</t>
  </si>
  <si>
    <t>N 49950</t>
  </si>
  <si>
    <t>Julio Arley Torres</t>
  </si>
  <si>
    <t>JT 298</t>
  </si>
  <si>
    <t>LIPESA</t>
  </si>
  <si>
    <t>FAL 219121</t>
  </si>
  <si>
    <t>Nestor Alberto Prada</t>
  </si>
  <si>
    <t>Honorarios contables</t>
  </si>
  <si>
    <t>NFE 92</t>
  </si>
  <si>
    <t>PACIFIC ENERGY SOLUTIONS SAS</t>
  </si>
  <si>
    <t>PEFE 6</t>
  </si>
  <si>
    <t>TRANSPORTES ESPECIALES PACIFIC TOURS S.A.S</t>
  </si>
  <si>
    <t>PC 159</t>
  </si>
  <si>
    <t xml:space="preserve">SEGURIDAD SOCIAL </t>
  </si>
  <si>
    <t>SERVICIO TECNICO AUTOMOTRIZ O.P.R S.A.S</t>
  </si>
  <si>
    <t>FE 2804</t>
  </si>
  <si>
    <t>Andres Felipe Sanchez</t>
  </si>
  <si>
    <t>Cuenta de cobro 01</t>
  </si>
  <si>
    <t>INOXMAC IMPORTADORA Y COMERCIALIZADORA INDUSTRIAL S.A.S</t>
  </si>
  <si>
    <t>Orden de servicios 260115</t>
  </si>
  <si>
    <t>MATERIALES ELECTRICOS V M S.A.S</t>
  </si>
  <si>
    <t>Orden de compra 260109</t>
  </si>
  <si>
    <t>COLCHONES Y SOMIERES SUPER COMODOS S.A.S</t>
  </si>
  <si>
    <t>Orden de compra 260123</t>
  </si>
  <si>
    <t>Diego Alejandro Camacho</t>
  </si>
  <si>
    <t>Cuenta de Cobro 025</t>
  </si>
  <si>
    <t>Orden de compra 260126</t>
  </si>
  <si>
    <t>Orden de compra 260124</t>
  </si>
  <si>
    <t>Reinaldo Perez Hurtado</t>
  </si>
  <si>
    <t>Orden de servicio 260103</t>
  </si>
  <si>
    <t>Marcelo Rojas Ballesteros</t>
  </si>
  <si>
    <t>Cuenta de cobro 009</t>
  </si>
  <si>
    <t>Cuenta de cobro 202511</t>
  </si>
  <si>
    <t>COMERCIALIZADORA INDUSTRIAL LIUTEX S.A.S</t>
  </si>
  <si>
    <t>Orden de compra 260129</t>
  </si>
  <si>
    <t>EQUIPOS Y MEDICIONES TECNICAS S.A.S</t>
  </si>
  <si>
    <t>Servicio de revision y calibracion de balanza analitica</t>
  </si>
  <si>
    <t>PROFORMA 0020421</t>
  </si>
  <si>
    <t>G Y J FERRETERIAS S.A</t>
  </si>
  <si>
    <t>Orden de compra 260133</t>
  </si>
  <si>
    <t>MOL LABS LTDA</t>
  </si>
  <si>
    <t>Orden de compra 260135</t>
  </si>
  <si>
    <t>VALVULAS Y FERRETERIA DE COLOMBIA SAS</t>
  </si>
  <si>
    <t>Orden de compra 260132</t>
  </si>
  <si>
    <t>Segunda quincena enero 2026</t>
  </si>
  <si>
    <t xml:space="preserve">GASTO DECAJA MENOR CAMPO </t>
  </si>
  <si>
    <t xml:space="preserve">Caja menor campo </t>
  </si>
  <si>
    <t>PROVISION RECURSOS HUMANOS</t>
  </si>
  <si>
    <t>TRM ENERO</t>
  </si>
  <si>
    <t xml:space="preserve">PROMEDIO </t>
  </si>
  <si>
    <t xml:space="preserve">COMUNIDADES </t>
  </si>
  <si>
    <t>-</t>
  </si>
  <si>
    <t>Suministro material de cantera</t>
  </si>
  <si>
    <t>Tratamiento y disposicion final de aguas residuales</t>
  </si>
  <si>
    <t xml:space="preserve">Jeimy Constanza Rodriguez </t>
  </si>
  <si>
    <t>Caja menor Oficina</t>
  </si>
  <si>
    <t>Licencias Contables</t>
  </si>
  <si>
    <t>Renta cargadero OCT 2025</t>
  </si>
  <si>
    <t>Renta cargadero NOV 2025</t>
  </si>
  <si>
    <t xml:space="preserve">Refrigerios Comunidades </t>
  </si>
  <si>
    <t>Liquidacion</t>
  </si>
  <si>
    <t>Segunda quincena Diciembre 2025</t>
  </si>
  <si>
    <t>Elio aguillon</t>
  </si>
  <si>
    <t xml:space="preserve">Maria Bastilla </t>
  </si>
  <si>
    <t xml:space="preserve">Wilson Olaya </t>
  </si>
  <si>
    <t xml:space="preserve">Saldo liquidacion </t>
  </si>
  <si>
    <t xml:space="preserve">Saldo de segunda quincena Diciembre 2025 </t>
  </si>
  <si>
    <t xml:space="preserve">Sergio Ruiz Rios </t>
  </si>
  <si>
    <t xml:space="preserve">.Renta Unidad de Bombeo Hidraulico (01 NOV al 30 NOV 2025)                                                         .Renta caseta tipo Company (01 NOV al 30 NOV 2025)                                                .Renta caseta tipo dormitorio (01 NOV al 30 NOV 2025)                                                       .Renta Generador 230kw (01 NOV al 30 NOV 2025)                                      .Renta de 2 tanques horizontales (01 NOV al 30 NOV 2025)  </t>
  </si>
  <si>
    <t>Alquiler camioneta NOV 2025</t>
  </si>
  <si>
    <t>Servicio transporte de carga</t>
  </si>
  <si>
    <t>. TUBERIA DE ALTA 6000 PSI DE 2 A PIE/DIA (01 AGOS AL 30 AGOS 2025)                                                       .TEA DE 3 INCLUYE ATRAPALLAMAS (01 AGOS AL 30 AGOS 2025)</t>
  </si>
  <si>
    <t xml:space="preserve">. TUBERIA DE ALTA 6000 PSI DE 2 A PIE/DIA (01 SEPT AL 31 SEPT 2025)                                                       .TEA DE 3 INCLUYE ATRAPALLAMAS (01 SEPT AL SEPT JUL 2025) </t>
  </si>
  <si>
    <t xml:space="preserve">. TUBERIA DE ALTA 6000 PSI DE 2 A PIE/DIA  (01 OCT AL 31 OCT 2025)                                                       .TEA DE 3 INCLUYE ATRAPALLAMAS   (01 OCT AL 31 OCT 2025) </t>
  </si>
  <si>
    <t>Servicio de Operación y Renta de Maquinaria Amarilla</t>
  </si>
  <si>
    <t>Tratamiento y disposicion final de tierras contaminadas, solidos contamidos y solidos ordinarios</t>
  </si>
  <si>
    <t xml:space="preserve">Alquiler frac tank (01 NOV al 30 NOV 2025)            </t>
  </si>
  <si>
    <t xml:space="preserve">Alquiler tanques horizontales   (01 NOV al 30 NOV 2025)             </t>
  </si>
  <si>
    <t xml:space="preserve">Alquiler tanques verticales  (01 NOV al 30 NOV 2025)          </t>
  </si>
  <si>
    <t xml:space="preserve">Alquiler gun barrel (01 NOV al 30 NOV 2025)               </t>
  </si>
  <si>
    <t>.ALQUILER DE 4 TANQUES HORIZONTALES  500 BBL.       ( DEL 01 DE  OCT AL 31 DE OCT  2025)                  .ALQUILER 2 PLATAFORMAS (DEL 01 DE  OCT AL 31 DE OCT 2025)</t>
  </si>
  <si>
    <t>Trasporte de Agua para Irrigacion de la via donde transitan las mulas (01 OCT al 31 OCT 2025)</t>
  </si>
  <si>
    <t>Quimica para produccion</t>
  </si>
  <si>
    <t xml:space="preserve">.Renta Unidad de Bombeo Hidraulico (01 OCT al 31 OCT 2025)                                                 .Renta caseta tipo Company (01 OCT al 31 OCT 2025)                                                          .Renta caseta tipo dormitorio (01 OCT al 31 OCT 2025)                                                                         .Renta Generador 230kw  (01 OCT al 31 OCT 2025)                                                          .Renta de 2 tanques horizontales (01 OCT al 31 OCT 2025)          </t>
  </si>
  <si>
    <t xml:space="preserve">Servicio de transporte de personal </t>
  </si>
  <si>
    <t>Elaboracion de inventario forestal</t>
  </si>
  <si>
    <t>Transporte de Unidad de bombeo hidraulico</t>
  </si>
  <si>
    <t xml:space="preserve">Georeferenciacion y servicios topograficos </t>
  </si>
  <si>
    <t>Servicio consultoria juridica</t>
  </si>
  <si>
    <t>PROVISION PROPIEDAD PLANTA Y EQUIPO</t>
  </si>
  <si>
    <t>Tipo</t>
  </si>
  <si>
    <t>Proveedor</t>
  </si>
  <si>
    <t>concepto</t>
  </si>
  <si>
    <t>Categoria</t>
  </si>
  <si>
    <t>Fecha de Facturacion</t>
  </si>
  <si>
    <t xml:space="preserve">Numero de factura </t>
  </si>
  <si>
    <t>Monto</t>
  </si>
  <si>
    <t>Estado</t>
  </si>
  <si>
    <t>Fecha de pago</t>
  </si>
  <si>
    <t>COSTOS OPERATIVOS, NOMINAS E IMPUESTOS</t>
  </si>
  <si>
    <t>GOP</t>
  </si>
  <si>
    <t>CP</t>
  </si>
  <si>
    <t>Colchones para estacion KIMBO</t>
  </si>
  <si>
    <t>TOTAL BARRILES PRODUCIDOS CALICHE ENERO 2026                                                                          (FORMAS DE PRODUCCION FISCALIZADAS ANH)</t>
  </si>
  <si>
    <t>AGOFER SAS</t>
  </si>
  <si>
    <t>Orden de compra 260128</t>
  </si>
  <si>
    <t>Alfonso Morales</t>
  </si>
  <si>
    <t>Dotacion</t>
  </si>
  <si>
    <t>Nominas y prestaciones (Nominas, Examenes medicos, dotacion, seguridad social)</t>
  </si>
  <si>
    <t>Orden de compra 260137</t>
  </si>
  <si>
    <t>A 3504</t>
  </si>
  <si>
    <t>Carmenza Prieto</t>
  </si>
  <si>
    <t>Cuenta de cobro 016</t>
  </si>
  <si>
    <t>Renta cargadero DIC  -2025</t>
  </si>
  <si>
    <t>FEV 1267</t>
  </si>
  <si>
    <t>CODIFER SAS</t>
  </si>
  <si>
    <t>Orden de compra 260131</t>
  </si>
  <si>
    <t>Orden de compra 260201</t>
  </si>
  <si>
    <t>CT1 7699</t>
  </si>
  <si>
    <t xml:space="preserve">Insumos ferreteria </t>
  </si>
  <si>
    <t>Orden de compra 260136</t>
  </si>
  <si>
    <t>COOTRARIPORO LTDA</t>
  </si>
  <si>
    <t>Transporte de material de cantera para el mantenimiento de vía san Luis del Ariporo - totumo, municipio de paz de Ariporo,</t>
  </si>
  <si>
    <t>FE 3657</t>
  </si>
  <si>
    <t xml:space="preserve">Tratamiento y disposicion final de agua residuos </t>
  </si>
  <si>
    <t>ELEC 1081</t>
  </si>
  <si>
    <t>ALQUILER DE 4 TANQUES HORIZONTALES  500 BBL, DEL 01 DE NOVIEMBRE  AL 30 DE NOVIEMBRE 2025,  ALQUILER 2 PLATAFORMAS  01 DE NOVIEMBRE  AL 30 DE NOVIEMBRE 2025</t>
  </si>
  <si>
    <t>FV 7953</t>
  </si>
  <si>
    <t>Trabajador autorizado</t>
  </si>
  <si>
    <t>FIIG 1630</t>
  </si>
  <si>
    <t>INVERSIONES CONTADORAS</t>
  </si>
  <si>
    <t xml:space="preserve">Arrendamiento oficina Noviembre - Diciembre - enero </t>
  </si>
  <si>
    <t>FE 339</t>
  </si>
  <si>
    <t>FE 320</t>
  </si>
  <si>
    <t>FE 347</t>
  </si>
  <si>
    <t xml:space="preserve">Alberto Cubides </t>
  </si>
  <si>
    <t>N 195934</t>
  </si>
  <si>
    <t>N 50159</t>
  </si>
  <si>
    <t>N 50166</t>
  </si>
  <si>
    <t>Alquiler vehiculo OCT -2025</t>
  </si>
  <si>
    <t>Cuenta de cobro 001 2025</t>
  </si>
  <si>
    <t>Alquiler vehiculo NOV -2025</t>
  </si>
  <si>
    <t>Cuenta de cobro 002 2025</t>
  </si>
  <si>
    <t>FELL 2097</t>
  </si>
  <si>
    <t>FAM 2849</t>
  </si>
  <si>
    <t xml:space="preserve">Alquiler carpas para Ojo de tigre </t>
  </si>
  <si>
    <t>FACT AB 22</t>
  </si>
  <si>
    <t>ALQUILER DE UNIDAD DE BOMBEO                                          - CASETA TIPO COMPANY                           - CASETA TIPO DORMITORIO                       -  GENERADOR DE 230W Y RENTA TANQUES DE 500 BBL  DEL 1 DE NOVIEMBRE  A L 30 DE NOVIEMBRE  2025</t>
  </si>
  <si>
    <t>PEFE 7</t>
  </si>
  <si>
    <t>Sergio Morales</t>
  </si>
  <si>
    <t>Servicio alquiler vehiculo</t>
  </si>
  <si>
    <t>PC 162</t>
  </si>
  <si>
    <t>PC 160</t>
  </si>
  <si>
    <t>FT 47</t>
  </si>
  <si>
    <t>Insumos oficina</t>
  </si>
  <si>
    <t>Orden de compra 260204</t>
  </si>
  <si>
    <t>Desplazamiento grua</t>
  </si>
  <si>
    <t>Propuesta economica No 01032018-8</t>
  </si>
  <si>
    <t>Insumos campo - KIMBO</t>
  </si>
  <si>
    <t>Orden de servicio 260202</t>
  </si>
  <si>
    <t xml:space="preserve">Jeimy Constanza Rogriguez </t>
  </si>
  <si>
    <t xml:space="preserve">Caja menor oficina </t>
  </si>
  <si>
    <t>Servicios (Administración, Energia, Internet y Telefonia)</t>
  </si>
  <si>
    <t xml:space="preserve">INVERSIONES RIVEROS </t>
  </si>
  <si>
    <t xml:space="preserve">Combustible </t>
  </si>
  <si>
    <t>CBPZ - 945</t>
  </si>
  <si>
    <t>Anderson Daniel Balcazar</t>
  </si>
  <si>
    <t xml:space="preserve">Insumos campo </t>
  </si>
  <si>
    <t>Orden de compra 260211</t>
  </si>
  <si>
    <t>Orden de compra 260209</t>
  </si>
  <si>
    <t>Orden de compra 260206</t>
  </si>
  <si>
    <t xml:space="preserve">Cinta Medicion lufkin </t>
  </si>
  <si>
    <t>Orden de compra 260215</t>
  </si>
  <si>
    <t>BOBINADOS DEL LLANO</t>
  </si>
  <si>
    <t>Rebobinado electrobomba</t>
  </si>
  <si>
    <t>Orden de servicio 260214</t>
  </si>
  <si>
    <t>Orden de compra 260210</t>
  </si>
  <si>
    <t>ABASTECEDORA DE ENVASES Y EMPAQUES DISTRIENVASES LTDA</t>
  </si>
  <si>
    <t>Orden de compra 260216</t>
  </si>
  <si>
    <t>Orden de compra 260213</t>
  </si>
  <si>
    <t>Orden de compra 260217</t>
  </si>
  <si>
    <t>TP 32923</t>
  </si>
  <si>
    <t>TP 33018</t>
  </si>
  <si>
    <t>ENVI 93</t>
  </si>
  <si>
    <t>ENVI 94</t>
  </si>
  <si>
    <t>FETM 9382</t>
  </si>
  <si>
    <t>FETM 9428</t>
  </si>
  <si>
    <t>Inspeccion Tuberia</t>
  </si>
  <si>
    <t>Orden de compra 260205</t>
  </si>
  <si>
    <t>Orden de compra 260218</t>
  </si>
  <si>
    <t>NFE 100</t>
  </si>
  <si>
    <t>Construccion de pozo profundo</t>
  </si>
  <si>
    <t>ELEC 121</t>
  </si>
  <si>
    <t>Orden de compra 260219</t>
  </si>
  <si>
    <t>Cuenta de cobro 02</t>
  </si>
  <si>
    <t>SERVICIOS DE INSPECCION Y MANTENIMIENTO EN INGENIERIAS SAS</t>
  </si>
  <si>
    <t>SIM 699</t>
  </si>
  <si>
    <t>Wilson Belisario Martinez</t>
  </si>
  <si>
    <t>Trasnporte de carga</t>
  </si>
  <si>
    <t>FE 105</t>
  </si>
  <si>
    <t>primera quincena febrero 2026</t>
  </si>
  <si>
    <t>Nomina Administrativa</t>
  </si>
  <si>
    <t>Claudia Yaneth Becerra</t>
  </si>
  <si>
    <t>Transporte de carga</t>
  </si>
  <si>
    <t>Cuenta de Cobro 001</t>
  </si>
  <si>
    <t>Orden de compra 260226</t>
  </si>
  <si>
    <t>Cuenta de cobro 0022026</t>
  </si>
  <si>
    <t>Cuenta de Cobro 0012026</t>
  </si>
  <si>
    <t>Hector Draulio Martinez</t>
  </si>
  <si>
    <t>Movilizacion combustible</t>
  </si>
  <si>
    <t>Cuenta de cobro 58</t>
  </si>
  <si>
    <t>Orden de compra 260223</t>
  </si>
  <si>
    <t>Orden de compra 260225</t>
  </si>
  <si>
    <t>Luz Jareth Rodriguez Rodriguez</t>
  </si>
  <si>
    <t>Cuenta de Cobro 202501124</t>
  </si>
  <si>
    <t>Cuenta de Cobro 013</t>
  </si>
  <si>
    <t>FAC 3748</t>
  </si>
  <si>
    <t>A 3610</t>
  </si>
  <si>
    <t>FAC 3753</t>
  </si>
  <si>
    <t>FACT 3754</t>
  </si>
  <si>
    <t>FAC 3757</t>
  </si>
  <si>
    <t>Servicio alquiler mini cargador</t>
  </si>
  <si>
    <t>MNDL 3341</t>
  </si>
  <si>
    <t>Cuenta de Cobro 20250129</t>
  </si>
  <si>
    <t>Orden de compra 260227</t>
  </si>
  <si>
    <t>FE 18317</t>
  </si>
  <si>
    <t>Orden de compra 260228</t>
  </si>
  <si>
    <t>MONCHE DIMAS PLAZAS</t>
  </si>
  <si>
    <t>Pago avaluo comercial de servidumbre rural</t>
  </si>
  <si>
    <t>Orden de compra 260235</t>
  </si>
  <si>
    <t>PETROASES GLOBAL ENERGY SAS</t>
  </si>
  <si>
    <t>Alquiler bomba triplex</t>
  </si>
  <si>
    <t>FEVT 112</t>
  </si>
  <si>
    <t>COOPERATIVA MULTIACTIVA DE INVERSIONES INGENIERIA Y TRANSPORTES</t>
  </si>
  <si>
    <t>Transporte material</t>
  </si>
  <si>
    <t>FET 245</t>
  </si>
  <si>
    <t>Insmos campo</t>
  </si>
  <si>
    <t>Orden de compra 260231</t>
  </si>
  <si>
    <t>Orden de compra 260237</t>
  </si>
  <si>
    <t>Colchones para estación KIMBO</t>
  </si>
  <si>
    <t>Orden de compra 260232</t>
  </si>
  <si>
    <t>Cuenta de cobro 20250130</t>
  </si>
  <si>
    <t>WORLD OFFICE COLOMBIA SAS</t>
  </si>
  <si>
    <t xml:space="preserve">Paquetes de contabilidad </t>
  </si>
  <si>
    <t>Proforma 1061040</t>
  </si>
  <si>
    <t>CT1 7881</t>
  </si>
  <si>
    <t>CT1 7915</t>
  </si>
  <si>
    <t>Revision fiscal</t>
  </si>
  <si>
    <t>Cuenta de Cobro 202601</t>
  </si>
  <si>
    <t xml:space="preserve">GASTOS DE CAJA MENOR CAMPO </t>
  </si>
  <si>
    <t xml:space="preserve">Comunidades </t>
  </si>
  <si>
    <t>Segunda quincena febrero 2026</t>
  </si>
  <si>
    <t xml:space="preserve">PROVISIONES RECURSOS HUMANOS </t>
  </si>
  <si>
    <t xml:space="preserve"> </t>
  </si>
  <si>
    <t>TRM FEBRERO</t>
  </si>
  <si>
    <t>Promedio</t>
  </si>
  <si>
    <t>TOTAL BARRILES PRODUCIDOS KIMBO FEBRERO 2026                                                                       (FORMAS DE PRODUCCION FISCALIZADAS ANH)</t>
  </si>
  <si>
    <t>TOTAL BARRILES PRODUCIDOS CALICHE FEBRERO 2026                                                                          (FORMAS DE PRODUCCION FISCALIZADAS ANH)</t>
  </si>
  <si>
    <t>PRECIO PROMEDIO DE VENTA BRENT FEBRERO 2026</t>
  </si>
  <si>
    <t>TRM PROMEDIO FEBRERO 2026</t>
  </si>
  <si>
    <t>BALANCE KIMBO FEBRERO 2026</t>
  </si>
  <si>
    <t>BALANCE CALICHE FEBRERO 2026</t>
  </si>
  <si>
    <t>CALZADO LABORAL S.A.S</t>
  </si>
  <si>
    <t>FIGURADOS DEL CASANARE S.A.S</t>
  </si>
  <si>
    <t>INGENIERIA SEGURIDAD SALUD AMBIENTE S.A.S</t>
  </si>
  <si>
    <t>MONTAJES Y ESTRUCTURAS IPA S.A.S</t>
  </si>
  <si>
    <t>VOLQUETAS Y TANQUES DE CARGA DE PAZ DE ARIPORO S.A.S</t>
  </si>
  <si>
    <t>COMERCIALIZADORA OPCIONES TECNOLOGICAS S.A.S</t>
  </si>
  <si>
    <t>HIGIELECTRONIX S.A.S.</t>
  </si>
  <si>
    <t>FLUIMOS S.A.S</t>
  </si>
  <si>
    <t>VITRO COMERCIAL S.A.S</t>
  </si>
  <si>
    <t>ACOPLES Y TRANSMISIONES S.A.S</t>
  </si>
  <si>
    <t>STEEL INSPECTION SERVICES S.A.S</t>
  </si>
  <si>
    <t>PERFORACIONES.MONTAJES.EQUIPOS Y SUMINISTROS SAS</t>
  </si>
  <si>
    <t>TALECTRO INGENIERIA S.A.S</t>
  </si>
  <si>
    <t>MUNDIAL DE TORNILLOS S.A</t>
  </si>
  <si>
    <t>MONTACARGAS NACIONALES S.A.S</t>
  </si>
  <si>
    <t>CASA DE LA GUADAÑA PYP AGRO S.A.S</t>
  </si>
  <si>
    <t>EMPAQUETADURAS Y EMPAQUES S.A</t>
  </si>
  <si>
    <t>Transporte agua de produccion</t>
  </si>
  <si>
    <t>AFORO TANQUE VERTICAL                            - AFORO EN TANQUES HORIZONTALES                                    -  CALIBRACIÓN DE TANQUE HORIZONTAL   Y VERTICAL  UBICADOS EN LA PLATAFORMA KIMBO BLOQUE JOROPO</t>
  </si>
  <si>
    <t>Ivan Dario Villalba</t>
  </si>
  <si>
    <t>Tuberia para linea de transporte de agua de produccion</t>
  </si>
  <si>
    <t>Equipo Petrolero</t>
  </si>
  <si>
    <t>Legalizacion 05-02-2026</t>
  </si>
  <si>
    <t>ORDEN DE COMPRA 26-02-07</t>
  </si>
  <si>
    <t>Legalizacion 03-02-2026</t>
  </si>
  <si>
    <t>Legalizacion 04-02-2026</t>
  </si>
  <si>
    <t>Legalizacion 10-02-2026</t>
  </si>
  <si>
    <t>Legalizacion 02-02-2026</t>
  </si>
  <si>
    <t>UTILIDAD BRUTA CALICHE</t>
  </si>
  <si>
    <t>TOTAL BARRILES PRODUCIDOS KIMBO MARZO 2026                                                                       (FORMAS DE PRODUCCION FISCALIZADAS ANH)</t>
  </si>
  <si>
    <t>TOTAL BARRILES PRODUCIDOS CALICHE MARZO 2026                                                                          (FORMAS DE PRODUCCION FISCALIZADAS ANH)</t>
  </si>
  <si>
    <t>PRECIO PROMEDIO DE VENTA BRENT MARZO 2026</t>
  </si>
  <si>
    <t>TRM PROMEDIO MARZO 2026</t>
  </si>
  <si>
    <t>BALANCE KIMBO MARZO 2026</t>
  </si>
  <si>
    <t>BALANCE CALICHE MARZO 2026</t>
  </si>
  <si>
    <t>AGOFER S.A.S</t>
  </si>
  <si>
    <t>Orden de compra 260303</t>
  </si>
  <si>
    <t xml:space="preserve">Servicio transporte agua de produccion </t>
  </si>
  <si>
    <t>FE 879</t>
  </si>
  <si>
    <t xml:space="preserve">Honorarios Administrativos </t>
  </si>
  <si>
    <t>Cuenta de Cibro 0032026</t>
  </si>
  <si>
    <t>Servicios (Administracion, energia, internet, telefono y television)</t>
  </si>
  <si>
    <t>3 - 292512819</t>
  </si>
  <si>
    <t>3 - 292492105</t>
  </si>
  <si>
    <t>R1138076683</t>
  </si>
  <si>
    <t>Orden de compra 260304</t>
  </si>
  <si>
    <t>Alquiler frac tank (01 DIC al 31 de DIC 2025)</t>
  </si>
  <si>
    <t>STFE 30</t>
  </si>
  <si>
    <t>Alquiler tanques horizontales  (01 DIC al 31 de DIC 2025)</t>
  </si>
  <si>
    <t>STFE 31</t>
  </si>
  <si>
    <t>Alquiler tanques verticales  (01 DIC al 31 de DIC 2025)</t>
  </si>
  <si>
    <t>STFE 32</t>
  </si>
  <si>
    <t>Alquiler gun barrel  (01 DIC al 31 de DIC 2025)</t>
  </si>
  <si>
    <t>STFE 33</t>
  </si>
  <si>
    <t>FERRETERIA ELI</t>
  </si>
  <si>
    <t>Orden de compra 260120</t>
  </si>
  <si>
    <t>FACT 7</t>
  </si>
  <si>
    <t>FV 7954</t>
  </si>
  <si>
    <t>Cuenta de Cobro 014</t>
  </si>
  <si>
    <t>N 50667</t>
  </si>
  <si>
    <t>N 50668</t>
  </si>
  <si>
    <t>N 51085</t>
  </si>
  <si>
    <t>N 50957</t>
  </si>
  <si>
    <t>N 51200</t>
  </si>
  <si>
    <t>N 51427</t>
  </si>
  <si>
    <t>N 51483</t>
  </si>
  <si>
    <t>Alquiler vehiculo - ENER - 2026</t>
  </si>
  <si>
    <t>Cuenta de cobro 004 2025</t>
  </si>
  <si>
    <t xml:space="preserve">LIPESA COLOMBIA SAS </t>
  </si>
  <si>
    <t>Quimicos (Quimicos Generales, Quimicos para producción, productos de aseo)</t>
  </si>
  <si>
    <t>FAL 219398</t>
  </si>
  <si>
    <t>MG PETROMIND LTDA</t>
  </si>
  <si>
    <t>FABRICACIÓN DE UN TANQUE DE PRESIÓN CON CAPACIDAD DE 150 PSI EN LÁMINA DE 1/8" DE 1,20 DE ALTURA POR 0,50 DIAMETRO                                      - SEÑALIZADO CON CONEXIÓN</t>
  </si>
  <si>
    <t>Orden de compra 260105</t>
  </si>
  <si>
    <t>NFE 104</t>
  </si>
  <si>
    <t>Servicio de camioneta</t>
  </si>
  <si>
    <t>PC 156</t>
  </si>
  <si>
    <t>Transporte personal</t>
  </si>
  <si>
    <t>PC 161</t>
  </si>
  <si>
    <t>AQUALIM LABORATORIO Y CONSULTORIAS S.A.S</t>
  </si>
  <si>
    <t>SERVICIO DE MUESTREO Y ANÁLISIS DE AGUA DE PRODUCCIÓN</t>
  </si>
  <si>
    <t>Orden de servicio 260121</t>
  </si>
  <si>
    <t>CLIMATIZACION Y CONTROL S.A.S</t>
  </si>
  <si>
    <t xml:space="preserve">Mantenimiento preventivo </t>
  </si>
  <si>
    <t>FVE 1153</t>
  </si>
  <si>
    <t>J-ROHI INGENIERIA S.A.S</t>
  </si>
  <si>
    <t>Mantenimiento correctivo</t>
  </si>
  <si>
    <t>Orden de compra 260238</t>
  </si>
  <si>
    <t>John Alexander Hoyos</t>
  </si>
  <si>
    <t>Dias de parqueo tanques (20 de febrero al 20 de abril 2026)</t>
  </si>
  <si>
    <t>Orden de servicios 260239</t>
  </si>
  <si>
    <t>SOC 116</t>
  </si>
  <si>
    <t>Jeimy Rodriguez</t>
  </si>
  <si>
    <t>Legalizacion gastos ( Caja mejor oficina)</t>
  </si>
  <si>
    <t>ALQUILER DE UNIDAD DE BOMBEO                                        - CASETA TIPO COMPANY                                      - CASETA TIPO DORMITORIO                                                - RENTA  GENERADOR                                                   - RENTA TANQUES HORIZONTALES DEL 1 AL 31 DE DICIEMBRE 2025</t>
  </si>
  <si>
    <t>PEFE 8</t>
  </si>
  <si>
    <t>CBPZ 964</t>
  </si>
  <si>
    <t>CARGO ZONE ETC S.A.S</t>
  </si>
  <si>
    <t>Flete (Transporte)</t>
  </si>
  <si>
    <t>Z 1676</t>
  </si>
  <si>
    <t>FERRETERIA INDUSTRIAL SAS</t>
  </si>
  <si>
    <t>Orden de compra 260306</t>
  </si>
  <si>
    <t>AQUA INTEGRAL SAS</t>
  </si>
  <si>
    <t>Orden de compra 260307</t>
  </si>
  <si>
    <t>DISTRIBUIDORA ELECTRICA SANCHEZ SARMIENTO Y CIA SAS</t>
  </si>
  <si>
    <t>Sensor de presion</t>
  </si>
  <si>
    <t>Orden de compra 260308</t>
  </si>
  <si>
    <t>Nominas y prestaciones (Nominas, examenes medicos, dotacion, seguridad social)</t>
  </si>
  <si>
    <t>Orden de compra 260309</t>
  </si>
  <si>
    <t>Juan Manuel Lopez</t>
  </si>
  <si>
    <t>Mery Angelica Perez</t>
  </si>
  <si>
    <t>Instalaciones luces oficina</t>
  </si>
  <si>
    <t>Orden de servicios 260230</t>
  </si>
  <si>
    <t>Lina Mayercy Calderon Beltran</t>
  </si>
  <si>
    <t>Regalo dia de la mujer</t>
  </si>
  <si>
    <t>Orden de compra 260311</t>
  </si>
  <si>
    <t>RMY 1428</t>
  </si>
  <si>
    <t>CT1 8106</t>
  </si>
  <si>
    <t>FE 3904</t>
  </si>
  <si>
    <t>EDIFICIO TORRE EMPRESARIAL PACIFIC PH</t>
  </si>
  <si>
    <t>TP 33127</t>
  </si>
  <si>
    <t>Arrendamiento oficina - marzo 2026</t>
  </si>
  <si>
    <t>FE 363</t>
  </si>
  <si>
    <t>Arrendamiento oficina - febrero 2026</t>
  </si>
  <si>
    <t>FE 353</t>
  </si>
  <si>
    <t>Transporte carga</t>
  </si>
  <si>
    <t>FE 228</t>
  </si>
  <si>
    <t>Consultoria juridica</t>
  </si>
  <si>
    <t xml:space="preserve">Honorarios Operativos </t>
  </si>
  <si>
    <t>Cuenta de Cobro 010</t>
  </si>
  <si>
    <t>FAM 2896</t>
  </si>
  <si>
    <t>OPTIMUSTRANS SERVICES S.A.S</t>
  </si>
  <si>
    <t>Transporte equipos</t>
  </si>
  <si>
    <t>N 9223</t>
  </si>
  <si>
    <t>Cuenta de Cobro 202602</t>
  </si>
  <si>
    <t>Servicio transporte personal</t>
  </si>
  <si>
    <t>PC 199</t>
  </si>
  <si>
    <t>Transporte agua</t>
  </si>
  <si>
    <t>FETM 9476</t>
  </si>
  <si>
    <t>TRANSPORTES Y SERVICIOS GCC SAS</t>
  </si>
  <si>
    <t>Transporte de material mantenimiento vía, el día 18 diciembre de 2025.</t>
  </si>
  <si>
    <t>ELEC 11302</t>
  </si>
  <si>
    <t>TRITURADOS GREM S.A.S</t>
  </si>
  <si>
    <t>Mantenimiento via</t>
  </si>
  <si>
    <t>GREM 39</t>
  </si>
  <si>
    <t>GREM 38</t>
  </si>
  <si>
    <t>GREM 37</t>
  </si>
  <si>
    <t>GREM 33</t>
  </si>
  <si>
    <t>GREM 36</t>
  </si>
  <si>
    <t>GREM 34</t>
  </si>
  <si>
    <t>WURTH COLOMBIA S.A</t>
  </si>
  <si>
    <t>FACT WF 1250471</t>
  </si>
  <si>
    <t>TP 33223</t>
  </si>
  <si>
    <t>ELECTROMANFER LTDA</t>
  </si>
  <si>
    <t>Orden de compra 260313</t>
  </si>
  <si>
    <t>ECOSEG COLOMBIA SAS</t>
  </si>
  <si>
    <t>Orden de compra 260312</t>
  </si>
  <si>
    <t>Nomina Operativa</t>
  </si>
  <si>
    <t>Primera quincena marzo 2026</t>
  </si>
  <si>
    <t>Orden de compra 260318</t>
  </si>
  <si>
    <t>Orden de compra 260325</t>
  </si>
  <si>
    <t>Orden de compra 260324</t>
  </si>
  <si>
    <t>IGNACIO GOMEZ IHM S.A.S</t>
  </si>
  <si>
    <t>Orden de compra 260323</t>
  </si>
  <si>
    <t>COMPANY JBM S.A.S</t>
  </si>
  <si>
    <t>Orden de compra 260317</t>
  </si>
  <si>
    <t>SERVICIO GEOLOGICO COLOMBIANO</t>
  </si>
  <si>
    <t>SGFE 1550</t>
  </si>
  <si>
    <t xml:space="preserve">Transporte tanque de pozo ODT a KIMBO </t>
  </si>
  <si>
    <t>Cuenta de Cobro 20250131</t>
  </si>
  <si>
    <t>Orden de compra 260320</t>
  </si>
  <si>
    <t>Orden de compra 260321</t>
  </si>
  <si>
    <t>DISTRIBORDADOS J &amp; A SAS</t>
  </si>
  <si>
    <t>Bordado bolsillos</t>
  </si>
  <si>
    <t>Orden de compra 260314</t>
  </si>
  <si>
    <t>ACEROS BONILLA S.A.S</t>
  </si>
  <si>
    <t>Orden de compra 260329</t>
  </si>
  <si>
    <t>Orden de compra 260328</t>
  </si>
  <si>
    <t>Orden de compra 260327</t>
  </si>
  <si>
    <t>MEGADOTACIONES S.A.S</t>
  </si>
  <si>
    <t>Orden de compra 260319</t>
  </si>
  <si>
    <t>Jorge Orlando Alvarez</t>
  </si>
  <si>
    <t>Mantenimiento y recarga extintor</t>
  </si>
  <si>
    <t>FE 118</t>
  </si>
  <si>
    <t>Orden de compra 260315</t>
  </si>
  <si>
    <t>PROMETALES M.I S.A.S</t>
  </si>
  <si>
    <t>BTA 2496</t>
  </si>
  <si>
    <t>Orden de compra 260335</t>
  </si>
  <si>
    <t>ADBAQUIM S.A.S</t>
  </si>
  <si>
    <t>Orden de compra 260334</t>
  </si>
  <si>
    <t>Carlos Julio Gaitan</t>
  </si>
  <si>
    <t>Construccion muro</t>
  </si>
  <si>
    <t>FVE 18</t>
  </si>
  <si>
    <t>FE 880</t>
  </si>
  <si>
    <t>A 3653</t>
  </si>
  <si>
    <t>Alquiler cargadero ENE 2026</t>
  </si>
  <si>
    <t>FEV 1269</t>
  </si>
  <si>
    <t>Cipriana Fernandez de Garcia</t>
  </si>
  <si>
    <t>Alimentacion personal de campo</t>
  </si>
  <si>
    <t>Cuenta de Cobro 008</t>
  </si>
  <si>
    <t>Transporte montacarga</t>
  </si>
  <si>
    <t>Cuenta de Cobro 0026</t>
  </si>
  <si>
    <t>Elbis Acosta Prada</t>
  </si>
  <si>
    <t>Alquiler vehiculo</t>
  </si>
  <si>
    <t>EAP 20</t>
  </si>
  <si>
    <t>Tratamiento y disposicion final agua</t>
  </si>
  <si>
    <t>ELEC 1112</t>
  </si>
  <si>
    <t>Tratamiento y disposicion final de residuos contaminados</t>
  </si>
  <si>
    <t>ELEC 1124</t>
  </si>
  <si>
    <t>Tratamiento y disposicion final de tierras contaminadas</t>
  </si>
  <si>
    <t>ELEC 1123</t>
  </si>
  <si>
    <t>ENVI 95</t>
  </si>
  <si>
    <t>ESTRATEGIA Y SERVICIO COLOMBIA DE TRANSPORTE S.A.S</t>
  </si>
  <si>
    <t>FELE 317</t>
  </si>
  <si>
    <t>GANADERIA Y TRANSPORTE HERMANOS LOPEZ CASALLAS S.A.S</t>
  </si>
  <si>
    <t>FE 103</t>
  </si>
  <si>
    <t>FE 102</t>
  </si>
  <si>
    <t>FE 96</t>
  </si>
  <si>
    <t>N 52008</t>
  </si>
  <si>
    <t>N 52011</t>
  </si>
  <si>
    <t>FAL 219550</t>
  </si>
  <si>
    <t>FELL 2134</t>
  </si>
  <si>
    <t>Transporte de carga en montacargas</t>
  </si>
  <si>
    <t>MNDL 3370</t>
  </si>
  <si>
    <t>FAC 3767</t>
  </si>
  <si>
    <t>FAC 3768</t>
  </si>
  <si>
    <t>SERVICIOS TRANSMANARE S.A.S</t>
  </si>
  <si>
    <t>TMFE 255</t>
  </si>
  <si>
    <t>TRANSPORTES COTRANSERVIS S.A.S</t>
  </si>
  <si>
    <t>FEPZ 152</t>
  </si>
  <si>
    <t>PC 209</t>
  </si>
  <si>
    <t>FETM 9541</t>
  </si>
  <si>
    <t>ELEC 11292</t>
  </si>
  <si>
    <t>GREM 54</t>
  </si>
  <si>
    <t>GREM 51</t>
  </si>
  <si>
    <t>GREM 52</t>
  </si>
  <si>
    <t>GREM 50</t>
  </si>
  <si>
    <t>GREM 48</t>
  </si>
  <si>
    <t>GREM 49</t>
  </si>
  <si>
    <t>GREM 53</t>
  </si>
  <si>
    <t>VOLTACARGA SAS</t>
  </si>
  <si>
    <t>FT 66</t>
  </si>
  <si>
    <t>Transporte de agua</t>
  </si>
  <si>
    <t>FT 65</t>
  </si>
  <si>
    <t>CL 552</t>
  </si>
  <si>
    <t>Diego Fernando Garzon Salazar</t>
  </si>
  <si>
    <t>Apoyo Motobomba</t>
  </si>
  <si>
    <t>Paquete documentos electronicos</t>
  </si>
  <si>
    <t>Proforma1075013</t>
  </si>
  <si>
    <t>EUROLATINA GROUP S.A.S</t>
  </si>
  <si>
    <t>EU 21</t>
  </si>
  <si>
    <t>EU 22</t>
  </si>
  <si>
    <t>INGENII CONSULTANTS S.A.S</t>
  </si>
  <si>
    <t>Orden de servicio 260330</t>
  </si>
  <si>
    <t>Jeimy Constanza Rodriguez</t>
  </si>
  <si>
    <t>Caja menor oficina</t>
  </si>
  <si>
    <t>HANNA INSTRUMENTS S.A.S</t>
  </si>
  <si>
    <t>Bomba de aire</t>
  </si>
  <si>
    <t>Orden de compra 260341</t>
  </si>
  <si>
    <t>ALCA LTDA</t>
  </si>
  <si>
    <t>Lavadoras</t>
  </si>
  <si>
    <t>Orden de compra 260340</t>
  </si>
  <si>
    <t>Orden de compra 260339</t>
  </si>
  <si>
    <t>Inspeccion gases combustion</t>
  </si>
  <si>
    <t>INGE 58</t>
  </si>
  <si>
    <t>Tacometro</t>
  </si>
  <si>
    <t>Orden de compra 260342</t>
  </si>
  <si>
    <t>IMPOFER IMPORTADORA DE FERRETERIA S.A.S</t>
  </si>
  <si>
    <t>Orden de compra 260343</t>
  </si>
  <si>
    <t>Fabian Rene Solano</t>
  </si>
  <si>
    <t>Transporte cargadero</t>
  </si>
  <si>
    <t>Cuenta de cobro 002 2026</t>
  </si>
  <si>
    <t>Segunda quincena marzo 2026</t>
  </si>
  <si>
    <t>Provisiones Recursos Humanos</t>
  </si>
  <si>
    <t>TRM MARZO</t>
  </si>
  <si>
    <t>Cuenta de cobro 0032026</t>
  </si>
  <si>
    <t>Cuenta de cobro 0042026</t>
  </si>
  <si>
    <t>Inspeccion tuberia</t>
  </si>
  <si>
    <t xml:space="preserve">Transporte material </t>
  </si>
  <si>
    <t>Pago EPIS Entrega de paz y salvo Perofracion KIMBO y  CALICHE</t>
  </si>
  <si>
    <r>
      <t xml:space="preserve">ALQUILER DE 4 TANQUES HORIZONTALES  500 BBL                  </t>
    </r>
    <r>
      <rPr>
        <b/>
        <i/>
        <sz val="9"/>
        <color theme="1"/>
        <rFont val="Calibri"/>
        <family val="2"/>
        <scheme val="minor"/>
      </rPr>
      <t xml:space="preserve">(DEL 01 DE DICIEMBRE  AL 31 DE DICIEMBRE  2025)      </t>
    </r>
    <r>
      <rPr>
        <sz val="11"/>
        <color theme="1"/>
        <rFont val="Calibri"/>
        <family val="2"/>
        <scheme val="minor"/>
      </rPr>
      <t xml:space="preserve">                                                           ALQUILER 2 PLATAFORMAS </t>
    </r>
    <r>
      <rPr>
        <b/>
        <i/>
        <sz val="9"/>
        <color theme="1"/>
        <rFont val="Calibri"/>
        <family val="2"/>
        <scheme val="minor"/>
      </rPr>
      <t>( DEL 01 DE DICIEMBRE  AL 31 DE DICIEMBRE  2025)</t>
    </r>
  </si>
  <si>
    <t xml:space="preserve"> RENTA TANQUE HORIZONTAL                                            - RENTA GENERADOR (01 de DIC al 31 DIC 2025)                                                          - CASETA DORMITORIO ( 01 de DIC al 31 DIC 2025)                                                           - CASETA COMPANY ( 01 de DIC al 31 DIC 2025)                                                   - UNIDAD DE BOMBEO ( 01 de DIC al 31 DIC 2025)</t>
  </si>
  <si>
    <t xml:space="preserve">Insumos Ferreteria </t>
  </si>
  <si>
    <t>Quimica de produccion</t>
  </si>
  <si>
    <t>SEGURIDAD SOCIAL</t>
  </si>
  <si>
    <t xml:space="preserve">Trasporte de Agua para Irrigacion de la via donde transitan las mulas </t>
  </si>
  <si>
    <t>TOTAL BARRILES PRODUCIDOS KIMBO ABRIL 2026                                                                       (FORMAS DE PRODUCCION FISCALIZADAS ANH)</t>
  </si>
  <si>
    <t>FE 888</t>
  </si>
  <si>
    <t>FETM 9586</t>
  </si>
  <si>
    <t>RENTA TANQUE HORIZONTAL                                      - RENTA GENERADOR (1 de enero al 31 de enero)                                                 - CASETA DORMITORIO (1 de enero al 31 de enero)                                                - CASETA COMPANY (1 de enero al 31 de enero)                                                 - UNIDAD DE BOMBEO (1 de enero al 31 de enero)</t>
  </si>
  <si>
    <t>FACT 8</t>
  </si>
  <si>
    <t>PEFE 9</t>
  </si>
  <si>
    <t>FEVT 117</t>
  </si>
  <si>
    <t>FEV 1271</t>
  </si>
  <si>
    <t>ZELI 12896</t>
  </si>
  <si>
    <t>Cuenta de Cobro 011</t>
  </si>
  <si>
    <t>FAC 3771</t>
  </si>
  <si>
    <t>Transporte escombros</t>
  </si>
  <si>
    <t>ZELI 12918</t>
  </si>
  <si>
    <t>FET 259</t>
  </si>
  <si>
    <t>ZELI 13452</t>
  </si>
  <si>
    <t>GESTION DE SEGURIDAD ELECTRONICA S.A</t>
  </si>
  <si>
    <t>Certificado digital</t>
  </si>
  <si>
    <t>SO 2277</t>
  </si>
  <si>
    <t>Transporte camioneta</t>
  </si>
  <si>
    <t>Cuenta de cobro 002</t>
  </si>
  <si>
    <t xml:space="preserve">INVERSIONES RIVEROS SAS </t>
  </si>
  <si>
    <t>Bomba Jet</t>
  </si>
  <si>
    <t>Equipo petrolero</t>
  </si>
  <si>
    <t>STFE 38</t>
  </si>
  <si>
    <t>Alquiler tanques verticales (1 al 31 de enero 2026)</t>
  </si>
  <si>
    <t>STFE 36</t>
  </si>
  <si>
    <t>Alquiler tanques horizontales (1 al 31 de enero 2026)</t>
  </si>
  <si>
    <t>STFE 35</t>
  </si>
  <si>
    <t>Alquiler frac tank (1 al 31 de enero 2026)</t>
  </si>
  <si>
    <t>STFE 34</t>
  </si>
  <si>
    <t>Alquiler gun barrel (1 al 31 de enero 2026)</t>
  </si>
  <si>
    <t>STFE 37</t>
  </si>
  <si>
    <t>ALDEMAR GUZMAN E HIJOS S.A.S</t>
  </si>
  <si>
    <t>Orden de compra 260408</t>
  </si>
  <si>
    <t>Orden de compra 260404</t>
  </si>
  <si>
    <t>Ferlin Pena Marin</t>
  </si>
  <si>
    <t>Planta eco diesel</t>
  </si>
  <si>
    <t>FEL 1278</t>
  </si>
  <si>
    <t>TECNOLOGIA, DISENO Y MANTENIMIENTO DE COLOMBIA S.A.S</t>
  </si>
  <si>
    <t>Reparacion electrobomba</t>
  </si>
  <si>
    <t>FETD 321</t>
  </si>
  <si>
    <t>INGEPROYECTOS L &amp; C S.A.S</t>
  </si>
  <si>
    <t>Alquiler taladro percutor makita 2 días</t>
  </si>
  <si>
    <t>LC 135</t>
  </si>
  <si>
    <t xml:space="preserve">NOVATEC FLUIDS SYSTEM SA </t>
  </si>
  <si>
    <t>BOMBA DOSIFICADORA ELECTROMAGNÉTICA DE DIAFRAGMA MARCA:LIQUID METRONICS / MILTON ROY</t>
  </si>
  <si>
    <t>Orden de compra 260407</t>
  </si>
  <si>
    <t xml:space="preserve">Transporte tanque de pozo ODT a KIMBO y de pozo KIMBO a ODT </t>
  </si>
  <si>
    <t>Cuenta de cobro 004</t>
  </si>
  <si>
    <t>Orden de compra 260406</t>
  </si>
  <si>
    <t>BLAMIS DOTACIONES LABORATORIO S.A.S</t>
  </si>
  <si>
    <t>Orden de compra 260403</t>
  </si>
  <si>
    <t>Orden de compra 260344</t>
  </si>
  <si>
    <t>Orden de compra 260402</t>
  </si>
  <si>
    <t>Orden de compra 260411</t>
  </si>
  <si>
    <t>LEDSCOLOR LAT</t>
  </si>
  <si>
    <t>Orden de compra 260409</t>
  </si>
  <si>
    <t>A 3691</t>
  </si>
  <si>
    <t>Romulo Alberto Camargo</t>
  </si>
  <si>
    <t>AC 344</t>
  </si>
  <si>
    <t>CUMMINS DE LOS ANDES S.A</t>
  </si>
  <si>
    <t>Orden de compra 260412</t>
  </si>
  <si>
    <t>Carlos Fernando Moreno</t>
  </si>
  <si>
    <t>Consultoria para creacion anexos cartograficos</t>
  </si>
  <si>
    <t>Cuenta de cobro 0126</t>
  </si>
  <si>
    <t>NFE 111</t>
  </si>
  <si>
    <t>N 52720</t>
  </si>
  <si>
    <t>SOC 624</t>
  </si>
  <si>
    <t>Alquiler vehiculo pozo KIMBO - ODT mes febrero 2026</t>
  </si>
  <si>
    <t>Cuenta de Cobro 0052026</t>
  </si>
  <si>
    <t>Cuenta de Cobro 202603</t>
  </si>
  <si>
    <t>N 52675</t>
  </si>
  <si>
    <t>Cuenta de cobro 004 2026</t>
  </si>
  <si>
    <t>CAPROIN S.A</t>
  </si>
  <si>
    <t>Orden de compra 260417</t>
  </si>
  <si>
    <t>CT1 8189</t>
  </si>
  <si>
    <t>TRANSLOGIC COLOMBIA SAS</t>
  </si>
  <si>
    <t>FE 131</t>
  </si>
  <si>
    <t>CT1 8370</t>
  </si>
  <si>
    <t>Administracion abril</t>
  </si>
  <si>
    <t>TP 33327</t>
  </si>
  <si>
    <t>N 52583</t>
  </si>
  <si>
    <t>CT1 8304</t>
  </si>
  <si>
    <t>Orden de compra 260414</t>
  </si>
  <si>
    <t>FAM 2970</t>
  </si>
  <si>
    <t>Orden de compra 260410</t>
  </si>
  <si>
    <t>FERRETERIA LUIS PENAGOS SAS</t>
  </si>
  <si>
    <t>Orden de compra 260415</t>
  </si>
  <si>
    <t>Frank Cristian Daza</t>
  </si>
  <si>
    <t>Servicio alimentacion</t>
  </si>
  <si>
    <t>TP 33381</t>
  </si>
  <si>
    <t>FELL 2171</t>
  </si>
  <si>
    <t>Primera quincena abril 2026</t>
  </si>
  <si>
    <t>ENERGY LAW SERVICES S.A.S</t>
  </si>
  <si>
    <t>Asesoria juridica</t>
  </si>
  <si>
    <t>FE 104</t>
  </si>
  <si>
    <t xml:space="preserve"> ALQUILER DE UNIDAD DE BOMBEO                                           - CASETA TIPO COMPANY                                        - CASETA TIPO DORMITORIO                                    - RENTA  GENERADOR - RENTA TANQUES HORIZONTALES DEL 1 AL  28  DE FEBRERO 2026</t>
  </si>
  <si>
    <t>PEFE 10</t>
  </si>
  <si>
    <t>D &amp; S DOTACIONES Y SERVICIOS</t>
  </si>
  <si>
    <t>Orden de compra 260422</t>
  </si>
  <si>
    <t>IGNACIO GOMEZ IGM S.A.S</t>
  </si>
  <si>
    <t>Orden de compra 260421</t>
  </si>
  <si>
    <t>Orden de compra 260424</t>
  </si>
  <si>
    <t>Orden de compra 260425</t>
  </si>
  <si>
    <t>DIEGO ALEJANDRO CAMACHO</t>
  </si>
  <si>
    <t>Cuenta de Cobro 0027</t>
  </si>
  <si>
    <t>FETM 9368</t>
  </si>
  <si>
    <t>Orden de compra 260430</t>
  </si>
  <si>
    <t>Suministro alimentacion</t>
  </si>
  <si>
    <t>Renta vehiculo</t>
  </si>
  <si>
    <t>EAP 21</t>
  </si>
  <si>
    <t>Tratamiento y disposicion residuos organicos</t>
  </si>
  <si>
    <t>ELEC 1144</t>
  </si>
  <si>
    <t>ELEC 1148</t>
  </si>
  <si>
    <t>FELE 343</t>
  </si>
  <si>
    <t>FE 109</t>
  </si>
  <si>
    <t>N 52922</t>
  </si>
  <si>
    <t>N 53032</t>
  </si>
  <si>
    <t>N 53145</t>
  </si>
  <si>
    <t>NACIONAL DE TRANSPORTES Y SERVICIOS DE LA ORINOQUIA S.A.S</t>
  </si>
  <si>
    <t>FT 232</t>
  </si>
  <si>
    <t>FAC 3775</t>
  </si>
  <si>
    <t>LIPESA COLOMBIA SAS</t>
  </si>
  <si>
    <t>Quimica</t>
  </si>
  <si>
    <t>FAL 219820</t>
  </si>
  <si>
    <t>R1145380703</t>
  </si>
  <si>
    <t>Telefono oficina</t>
  </si>
  <si>
    <t>3 - 292578819</t>
  </si>
  <si>
    <t>3 - 292558456</t>
  </si>
  <si>
    <t>Sidny Sayid Geromito</t>
  </si>
  <si>
    <t>INOXMAC IMPORTADORA Y COMERCIALIZADORA INDUSTRIAL SAS</t>
  </si>
  <si>
    <t>Orden de servicio 260432</t>
  </si>
  <si>
    <t>SERVICIO DE TORNO YOPAL</t>
  </si>
  <si>
    <t>Cotizacion 3929</t>
  </si>
  <si>
    <t>GASTO DE CAJA MENOR CAMPO</t>
  </si>
  <si>
    <t>Segunda quincena abril 2026</t>
  </si>
  <si>
    <t>Segunda quincena  abril 2026</t>
  </si>
  <si>
    <t xml:space="preserve">TRM ABRIL </t>
  </si>
  <si>
    <t>Consultoria implementacion</t>
  </si>
  <si>
    <t>Renta cargadero FEB 2026</t>
  </si>
  <si>
    <t>ALQUILER DE UNIDAD DE BOMBEO                                           - CASETA TIPO COMPANY (1 al 31 de enero 2026)                                                 - CASETA TIPO DORMITORIO (1 al 31 de enero 2026)                                                                        - RENTA  GENERADOR (1 al 31 de enero 2026)                                                - RENTA TANQUE HORIZONTAL (del 1 al 31 de enero 2026)</t>
  </si>
  <si>
    <t>Etiquetas de fila</t>
  </si>
  <si>
    <t>TOTAL BARRILES PRODUCIDOS CALICHE ABRIL 2026                                                                          (FORMAS DE PRODUCCION FISCALIZADAS ANH)</t>
  </si>
  <si>
    <t>PRECIO PROMEDIO DE VENTA BRENT ABRIL 2026</t>
  </si>
  <si>
    <t>TRM PROMEDIO ABRIL 2026</t>
  </si>
  <si>
    <t>BALANCE KIMBO ABRIL 2026</t>
  </si>
  <si>
    <t>BALANCE CALICHE ABRIL 2026</t>
  </si>
  <si>
    <t>Transporte de material</t>
  </si>
  <si>
    <t>Inversion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</si>
</sst>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 #,##0;[Red]\-&quot;$&quot;\ #,##0"/>
    <numFmt numFmtId="43" formatCode="_-* #,##0.00_-;\-* #,##0.00_-;_-* &quot;-&quot;??_-;_-@_-"/>
    <numFmt numFmtId="164" formatCode="_-* #,##0.00\ _€_-;\-* #,##0.00\ _€_-;_-* &quot;-&quot;??\ _€_-;_-@_-"/>
    <numFmt numFmtId="165" formatCode="_-[$$-409]* #,##0_ ;_-[$$-409]* \-#,##0\ ;_-[$$-409]* &quot;-&quot;??_ ;_-@_ "/>
    <numFmt numFmtId="166" formatCode="_-[$$-409]* #,##0.000_ ;_-[$$-409]* \-#,##0.000\ ;_-[$$-409]* &quot;-&quot;??_ ;_-@_ "/>
    <numFmt numFmtId="167" formatCode="0.0000%"/>
    <numFmt numFmtId="168" formatCode="_-* #,##0_-;\-* #,##0_-;_-* &quot;-&quot;??_-;_-@"/>
    <numFmt numFmtId="169" formatCode="d/m/yyyy"/>
    <numFmt numFmtId="170" formatCode="\-"/>
    <numFmt numFmtId="171" formatCode="0.000"/>
    <numFmt numFmtId="172" formatCode="_-* #,##0.00_-;\-* #,##0.00_-;_-* &quot;-&quot;??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b/>
      <sz val="11"/>
      <color rgb="FF006100"/>
      <name val="Calibri"/>
      <family val="2"/>
      <scheme val="minor"/>
    </font>
    <font>
      <b/>
      <sz val="20"/>
      <color theme="1"/>
      <name val="Calibri"/>
      <family val="2"/>
      <scheme val="minor"/>
    </font>
    <font>
      <sz val="11"/>
      <color theme="1"/>
      <name val="Calibri"/>
      <family val="2"/>
    </font>
    <font>
      <b/>
      <sz val="11"/>
      <color rgb="FF006100"/>
      <name val="Calibri"/>
      <family val="2"/>
    </font>
    <font>
      <sz val="11"/>
      <name val="Calibri"/>
      <family val="2"/>
    </font>
    <font>
      <sz val="11"/>
      <color rgb="FF0A0A0A"/>
      <name val="Calibri"/>
      <family val="2"/>
    </font>
    <font>
      <sz val="11"/>
      <color rgb="FF333333"/>
      <name val="Calibri"/>
      <family val="2"/>
    </font>
    <font>
      <sz val="10"/>
      <color rgb="FF0A0A0A"/>
      <name val="Calibri"/>
      <family val="2"/>
      <scheme val="minor"/>
    </font>
    <font>
      <sz val="10"/>
      <color rgb="FF333333"/>
      <name val="Calibri"/>
      <family val="2"/>
      <scheme val="minor"/>
    </font>
    <font>
      <b/>
      <i/>
      <sz val="9"/>
      <color theme="1"/>
      <name val="Calibri"/>
      <family val="2"/>
      <scheme val="minor"/>
    </font>
    <font>
      <sz val="12"/>
      <color theme="1"/>
      <name val="Calibri"/>
      <family val="2"/>
      <scheme val="minor"/>
    </font>
    <font>
      <sz val="11"/>
      <color theme="1"/>
      <name val="Segoe UI"/>
      <family val="2"/>
    </font>
  </fonts>
  <fills count="1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C6EFCE"/>
        <bgColor indexed="64"/>
      </patternFill>
    </fill>
    <fill>
      <patternFill patternType="solid">
        <fgColor rgb="FFDEEAF6"/>
        <bgColor indexed="64"/>
      </patternFill>
    </fill>
    <fill>
      <patternFill patternType="solid">
        <fgColor rgb="FFBDD6EE"/>
        <bgColor indexed="64"/>
      </patternFill>
    </fill>
    <fill>
      <patternFill patternType="solid">
        <fgColor rgb="FFBDD6EE"/>
        <bgColor rgb="FFBDD6EE"/>
      </patternFill>
    </fill>
    <fill>
      <patternFill patternType="solid">
        <fgColor rgb="FFC6EFCE"/>
        <bgColor rgb="FFC6EFCE"/>
      </patternFill>
    </fill>
    <fill>
      <patternFill patternType="solid">
        <fgColor rgb="FFDEEAF6"/>
        <bgColor rgb="FFDEEAF6"/>
      </patternFill>
    </fill>
    <fill>
      <patternFill patternType="solid">
        <fgColor rgb="FFFFFFFF"/>
        <bgColor rgb="FFFFFFFF"/>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theme="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medium">
        <color rgb="FFCCCCCC"/>
      </left>
      <right style="medium">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right style="medium">
        <color rgb="FF000000"/>
      </right>
      <top/>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000000"/>
      </left>
      <right style="medium">
        <color rgb="FF000000"/>
      </right>
      <top style="medium">
        <color rgb="FF000000"/>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rgb="FF000000"/>
      </left>
      <right style="medium">
        <color rgb="FF000000"/>
      </right>
      <top/>
      <bottom style="medium">
        <color rgb="FF000000"/>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85">
    <xf numFmtId="0" fontId="0" fillId="0" borderId="0" xfId="0"/>
    <xf numFmtId="0" fontId="2" fillId="2" borderId="1" xfId="0" applyFont="1" applyFill="1" applyBorder="1" applyAlignment="1">
      <alignment horizontal="left" vertical="center" wrapText="1"/>
    </xf>
    <xf numFmtId="43" fontId="0" fillId="0" borderId="0" xfId="0" applyNumberFormat="1"/>
    <xf numFmtId="165" fontId="0" fillId="0" borderId="0" xfId="0" applyNumberFormat="1"/>
    <xf numFmtId="0" fontId="2" fillId="2" borderId="1" xfId="0" applyFont="1" applyFill="1" applyBorder="1"/>
    <xf numFmtId="166" fontId="0" fillId="0" borderId="1" xfId="0" applyNumberFormat="1" applyBorder="1" applyAlignment="1">
      <alignment horizontal="center"/>
    </xf>
    <xf numFmtId="165" fontId="0" fillId="0" borderId="1" xfId="0" applyNumberFormat="1" applyBorder="1" applyAlignment="1">
      <alignment horizontal="center"/>
    </xf>
    <xf numFmtId="0" fontId="2" fillId="3" borderId="1" xfId="0" applyFont="1" applyFill="1" applyBorder="1" applyAlignment="1">
      <alignment horizontal="center"/>
    </xf>
    <xf numFmtId="0" fontId="2" fillId="0" borderId="4" xfId="0" applyFont="1" applyBorder="1"/>
    <xf numFmtId="9" fontId="0" fillId="0" borderId="1" xfId="2" applyFont="1" applyBorder="1" applyAlignment="1">
      <alignment horizontal="center"/>
    </xf>
    <xf numFmtId="165" fontId="2" fillId="0" borderId="5" xfId="0" applyNumberFormat="1" applyFont="1" applyBorder="1"/>
    <xf numFmtId="10" fontId="0" fillId="0" borderId="1" xfId="2" applyNumberFormat="1" applyFont="1" applyBorder="1" applyAlignment="1">
      <alignment horizontal="center"/>
    </xf>
    <xf numFmtId="0" fontId="0" fillId="0" borderId="1" xfId="0" applyBorder="1"/>
    <xf numFmtId="165" fontId="2" fillId="0" borderId="1" xfId="0" applyNumberFormat="1" applyFont="1" applyBorder="1"/>
    <xf numFmtId="9" fontId="2" fillId="0" borderId="1" xfId="0" applyNumberFormat="1" applyFont="1" applyBorder="1" applyAlignment="1">
      <alignment horizontal="center"/>
    </xf>
    <xf numFmtId="165" fontId="3" fillId="0" borderId="1" xfId="0" applyNumberFormat="1" applyFont="1" applyBorder="1"/>
    <xf numFmtId="167" fontId="0" fillId="0" borderId="0" xfId="2" applyNumberFormat="1" applyFont="1"/>
    <xf numFmtId="0" fontId="0" fillId="0" borderId="0" xfId="0" applyAlignment="1">
      <alignment vertical="center"/>
    </xf>
    <xf numFmtId="9" fontId="0" fillId="0" borderId="0" xfId="2" applyFont="1"/>
    <xf numFmtId="0" fontId="0" fillId="0" borderId="1" xfId="0" applyBorder="1" applyAlignment="1">
      <alignment horizontal="left"/>
    </xf>
    <xf numFmtId="10" fontId="2" fillId="0" borderId="1" xfId="0" applyNumberFormat="1" applyFont="1" applyBorder="1"/>
    <xf numFmtId="10" fontId="2" fillId="3" borderId="1" xfId="0" applyNumberFormat="1" applyFont="1" applyFill="1" applyBorder="1"/>
    <xf numFmtId="0" fontId="2" fillId="3" borderId="1" xfId="0" applyFont="1" applyFill="1" applyBorder="1" applyAlignment="1">
      <alignment horizontal="left"/>
    </xf>
    <xf numFmtId="0" fontId="0" fillId="0" borderId="0" xfId="0" applyAlignment="1">
      <alignment horizontal="left"/>
    </xf>
    <xf numFmtId="14" fontId="0" fillId="0" borderId="3" xfId="0" applyNumberFormat="1" applyBorder="1" applyAlignment="1">
      <alignment horizontal="center" vertical="center"/>
    </xf>
    <xf numFmtId="6" fontId="0" fillId="0" borderId="0" xfId="0" applyNumberFormat="1"/>
    <xf numFmtId="10" fontId="0" fillId="0" borderId="0" xfId="0" applyNumberFormat="1"/>
    <xf numFmtId="14" fontId="0" fillId="0" borderId="1" xfId="0" applyNumberFormat="1" applyBorder="1" applyAlignment="1">
      <alignment horizontal="center" vertical="center"/>
    </xf>
    <xf numFmtId="0" fontId="0" fillId="0" borderId="1" xfId="0" applyBorder="1" applyAlignment="1">
      <alignment horizontal="center" vertical="center"/>
    </xf>
    <xf numFmtId="0" fontId="4" fillId="3" borderId="9" xfId="0" applyFont="1" applyFill="1" applyBorder="1" applyAlignment="1">
      <alignment horizontal="center" vertical="center"/>
    </xf>
    <xf numFmtId="0" fontId="4" fillId="3" borderId="9" xfId="0" applyFont="1" applyFill="1" applyBorder="1" applyAlignment="1">
      <alignment horizontal="center" vertical="center" wrapText="1"/>
    </xf>
    <xf numFmtId="0" fontId="0" fillId="6" borderId="8" xfId="0" applyFill="1" applyBorder="1" applyAlignment="1">
      <alignment vertical="center" wrapText="1"/>
    </xf>
    <xf numFmtId="14" fontId="0" fillId="6" borderId="7" xfId="0" applyNumberFormat="1" applyFill="1" applyBorder="1" applyAlignment="1">
      <alignment horizontal="left" vertical="center" wrapText="1"/>
    </xf>
    <xf numFmtId="14" fontId="0" fillId="6" borderId="8" xfId="0" applyNumberFormat="1" applyFill="1" applyBorder="1" applyAlignment="1">
      <alignment horizontal="center" vertical="center" wrapText="1"/>
    </xf>
    <xf numFmtId="0" fontId="0" fillId="6" borderId="8" xfId="0" applyFill="1" applyBorder="1" applyAlignment="1">
      <alignment horizontal="center" vertical="center" wrapText="1"/>
    </xf>
    <xf numFmtId="165" fontId="0" fillId="6" borderId="8" xfId="0" applyNumberFormat="1" applyFill="1" applyBorder="1" applyAlignment="1">
      <alignment horizontal="right" vertical="center" wrapText="1"/>
    </xf>
    <xf numFmtId="0" fontId="5" fillId="4" borderId="8" xfId="0" applyFont="1" applyFill="1" applyBorder="1" applyAlignment="1">
      <alignment horizontal="center" vertical="center" wrapText="1"/>
    </xf>
    <xf numFmtId="0" fontId="0" fillId="5" borderId="8" xfId="0" applyFill="1" applyBorder="1" applyAlignment="1">
      <alignment vertical="center" wrapText="1"/>
    </xf>
    <xf numFmtId="14" fontId="0" fillId="5" borderId="7" xfId="0" applyNumberFormat="1" applyFill="1" applyBorder="1" applyAlignment="1">
      <alignment horizontal="left" vertical="center" wrapText="1"/>
    </xf>
    <xf numFmtId="14" fontId="0" fillId="5" borderId="8" xfId="0" applyNumberFormat="1" applyFill="1" applyBorder="1" applyAlignment="1">
      <alignment horizontal="center" vertical="center" wrapText="1"/>
    </xf>
    <xf numFmtId="0" fontId="0" fillId="5" borderId="8" xfId="0" applyFill="1" applyBorder="1" applyAlignment="1">
      <alignment horizontal="center" vertical="center" wrapText="1"/>
    </xf>
    <xf numFmtId="165" fontId="0" fillId="5" borderId="8" xfId="0" applyNumberFormat="1" applyFill="1" applyBorder="1" applyAlignment="1">
      <alignment horizontal="right" vertical="center" wrapText="1"/>
    </xf>
    <xf numFmtId="14" fontId="0" fillId="6" borderId="7" xfId="0" applyNumberFormat="1" applyFill="1" applyBorder="1" applyAlignment="1">
      <alignment horizontal="center" vertical="center" wrapText="1"/>
    </xf>
    <xf numFmtId="14" fontId="0" fillId="5" borderId="7" xfId="0" applyNumberFormat="1" applyFill="1" applyBorder="1" applyAlignment="1">
      <alignment horizontal="center" vertical="center" wrapText="1"/>
    </xf>
    <xf numFmtId="0" fontId="0" fillId="0" borderId="11" xfId="0" applyBorder="1"/>
    <xf numFmtId="0" fontId="0" fillId="0" borderId="3" xfId="0" applyBorder="1" applyAlignment="1">
      <alignment horizontal="center"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0" fontId="0" fillId="0" borderId="0" xfId="0" applyAlignment="1">
      <alignment horizontal="left" wrapText="1"/>
    </xf>
    <xf numFmtId="0" fontId="0" fillId="5" borderId="7" xfId="0" applyFill="1" applyBorder="1" applyAlignment="1">
      <alignment horizontal="left" vertical="center" wrapText="1"/>
    </xf>
    <xf numFmtId="0" fontId="0" fillId="6" borderId="7" xfId="0" applyFill="1" applyBorder="1" applyAlignment="1">
      <alignment horizontal="left" vertical="center" wrapText="1"/>
    </xf>
    <xf numFmtId="17" fontId="0" fillId="6" borderId="7" xfId="0" applyNumberFormat="1" applyFill="1" applyBorder="1" applyAlignment="1">
      <alignment horizontal="left" vertical="center" wrapText="1"/>
    </xf>
    <xf numFmtId="0" fontId="2" fillId="3" borderId="1" xfId="0" applyFont="1" applyFill="1" applyBorder="1"/>
    <xf numFmtId="165" fontId="2" fillId="3" borderId="1" xfId="0" applyNumberFormat="1" applyFont="1" applyFill="1" applyBorder="1"/>
    <xf numFmtId="164" fontId="0" fillId="0" borderId="1" xfId="1" applyFont="1" applyBorder="1" applyAlignment="1">
      <alignment horizontal="left" vertical="center"/>
    </xf>
    <xf numFmtId="0" fontId="2" fillId="0" borderId="0" xfId="0" applyFont="1"/>
    <xf numFmtId="9" fontId="0" fillId="0" borderId="0" xfId="2" applyFont="1" applyBorder="1" applyAlignment="1">
      <alignment horizontal="center"/>
    </xf>
    <xf numFmtId="165" fontId="2" fillId="0" borderId="0" xfId="0" applyNumberFormat="1" applyFont="1"/>
    <xf numFmtId="10" fontId="0" fillId="0" borderId="0" xfId="2" applyNumberFormat="1" applyFont="1" applyBorder="1" applyAlignment="1">
      <alignment horizontal="center"/>
    </xf>
    <xf numFmtId="168" fontId="7" fillId="0" borderId="0" xfId="0" applyNumberFormat="1" applyFont="1"/>
    <xf numFmtId="0" fontId="7" fillId="7" borderId="8" xfId="0" applyFont="1" applyFill="1" applyBorder="1" applyAlignment="1">
      <alignment vertical="center" wrapText="1"/>
    </xf>
    <xf numFmtId="0" fontId="7" fillId="7" borderId="7" xfId="0" applyFont="1" applyFill="1" applyBorder="1" applyAlignment="1">
      <alignment horizontal="center" vertical="center" wrapText="1"/>
    </xf>
    <xf numFmtId="169" fontId="7" fillId="7" borderId="7" xfId="0" applyNumberFormat="1" applyFont="1" applyFill="1" applyBorder="1" applyAlignment="1">
      <alignment horizontal="center" vertical="center" wrapText="1"/>
    </xf>
    <xf numFmtId="165" fontId="7" fillId="7" borderId="16" xfId="0" applyNumberFormat="1" applyFont="1" applyFill="1" applyBorder="1" applyAlignment="1">
      <alignment horizontal="right" vertical="center" wrapText="1"/>
    </xf>
    <xf numFmtId="0" fontId="8" fillId="8" borderId="8" xfId="0" applyFont="1" applyFill="1" applyBorder="1" applyAlignment="1">
      <alignment horizontal="center" vertical="center" wrapText="1"/>
    </xf>
    <xf numFmtId="0" fontId="7" fillId="9" borderId="8" xfId="0" applyFont="1" applyFill="1" applyBorder="1" applyAlignment="1">
      <alignment vertical="center" wrapText="1"/>
    </xf>
    <xf numFmtId="0" fontId="7" fillId="9" borderId="7" xfId="0" applyFont="1" applyFill="1" applyBorder="1" applyAlignment="1">
      <alignment horizontal="center" vertical="center" wrapText="1"/>
    </xf>
    <xf numFmtId="169" fontId="7" fillId="9" borderId="7" xfId="0" applyNumberFormat="1" applyFont="1" applyFill="1" applyBorder="1" applyAlignment="1">
      <alignment horizontal="center" vertical="center" wrapText="1"/>
    </xf>
    <xf numFmtId="165" fontId="7" fillId="9" borderId="8" xfId="0" applyNumberFormat="1" applyFont="1" applyFill="1" applyBorder="1" applyAlignment="1">
      <alignment horizontal="right" vertical="center" wrapText="1"/>
    </xf>
    <xf numFmtId="0" fontId="7" fillId="7" borderId="16" xfId="0" applyFont="1" applyFill="1" applyBorder="1" applyAlignment="1">
      <alignment horizontal="center" vertical="center" wrapText="1"/>
    </xf>
    <xf numFmtId="165" fontId="7" fillId="7" borderId="8" xfId="0" applyNumberFormat="1" applyFont="1" applyFill="1" applyBorder="1" applyAlignment="1">
      <alignment horizontal="right" vertical="center" wrapText="1"/>
    </xf>
    <xf numFmtId="0" fontId="7" fillId="9" borderId="16" xfId="0" applyFont="1" applyFill="1" applyBorder="1" applyAlignment="1">
      <alignment vertical="center" wrapText="1"/>
    </xf>
    <xf numFmtId="0" fontId="7" fillId="9" borderId="16" xfId="0" applyFont="1" applyFill="1" applyBorder="1" applyAlignment="1">
      <alignment horizontal="center"/>
    </xf>
    <xf numFmtId="169" fontId="7" fillId="9" borderId="17" xfId="0" applyNumberFormat="1" applyFont="1" applyFill="1" applyBorder="1" applyAlignment="1">
      <alignment horizontal="center" vertical="center" wrapText="1"/>
    </xf>
    <xf numFmtId="0" fontId="7" fillId="9" borderId="7" xfId="0" applyFont="1" applyFill="1" applyBorder="1" applyAlignment="1">
      <alignment vertical="center" wrapText="1"/>
    </xf>
    <xf numFmtId="0" fontId="7" fillId="7" borderId="7" xfId="0" applyFont="1" applyFill="1" applyBorder="1" applyAlignment="1">
      <alignment vertical="center" wrapText="1"/>
    </xf>
    <xf numFmtId="0" fontId="7" fillId="7" borderId="8" xfId="0" applyFont="1" applyFill="1" applyBorder="1" applyAlignment="1">
      <alignment horizontal="left" vertical="center" wrapText="1"/>
    </xf>
    <xf numFmtId="165" fontId="7" fillId="7" borderId="8" xfId="0" applyNumberFormat="1" applyFont="1" applyFill="1" applyBorder="1" applyAlignment="1">
      <alignment horizontal="center" vertical="center" wrapText="1"/>
    </xf>
    <xf numFmtId="17" fontId="7" fillId="7" borderId="7" xfId="0" applyNumberFormat="1" applyFont="1" applyFill="1" applyBorder="1" applyAlignment="1">
      <alignment horizontal="center" vertical="center" wrapText="1"/>
    </xf>
    <xf numFmtId="170" fontId="7" fillId="7" borderId="7" xfId="0" applyNumberFormat="1" applyFont="1" applyFill="1" applyBorder="1" applyAlignment="1">
      <alignment horizontal="center" vertical="center"/>
    </xf>
    <xf numFmtId="17" fontId="7" fillId="9" borderId="7" xfId="0" applyNumberFormat="1" applyFont="1" applyFill="1" applyBorder="1" applyAlignment="1">
      <alignment horizontal="center" vertical="center" wrapText="1"/>
    </xf>
    <xf numFmtId="165" fontId="7" fillId="9" borderId="7" xfId="0" applyNumberFormat="1" applyFont="1" applyFill="1" applyBorder="1" applyAlignment="1">
      <alignment horizontal="center" vertical="center" wrapText="1"/>
    </xf>
    <xf numFmtId="0" fontId="1" fillId="0" borderId="0" xfId="0" applyFont="1"/>
    <xf numFmtId="165" fontId="7" fillId="0" borderId="0" xfId="0" applyNumberFormat="1" applyFont="1"/>
    <xf numFmtId="169" fontId="10" fillId="10" borderId="21" xfId="0" applyNumberFormat="1" applyFont="1" applyFill="1" applyBorder="1" applyAlignment="1">
      <alignment horizontal="center" vertical="center" wrapText="1"/>
    </xf>
    <xf numFmtId="0" fontId="11" fillId="10" borderId="21" xfId="0" applyFont="1" applyFill="1" applyBorder="1" applyAlignment="1">
      <alignment horizontal="center" vertical="center" wrapText="1"/>
    </xf>
    <xf numFmtId="0" fontId="7" fillId="0" borderId="21" xfId="0" applyFont="1" applyBorder="1" applyAlignment="1">
      <alignment horizontal="center"/>
    </xf>
    <xf numFmtId="171" fontId="7" fillId="0" borderId="21" xfId="0" applyNumberFormat="1" applyFont="1" applyBorder="1" applyAlignment="1">
      <alignment horizontal="center"/>
    </xf>
    <xf numFmtId="172" fontId="7" fillId="0" borderId="0" xfId="0" applyNumberFormat="1" applyFont="1"/>
    <xf numFmtId="14" fontId="7" fillId="7" borderId="7" xfId="0" applyNumberFormat="1" applyFont="1" applyFill="1" applyBorder="1" applyAlignment="1">
      <alignment horizontal="center" vertical="center"/>
    </xf>
    <xf numFmtId="0" fontId="2" fillId="0" borderId="22" xfId="0" applyFont="1" applyBorder="1"/>
    <xf numFmtId="9" fontId="0" fillId="0" borderId="2" xfId="2" applyFont="1" applyBorder="1" applyAlignment="1">
      <alignment horizontal="center"/>
    </xf>
    <xf numFmtId="165" fontId="2" fillId="0" borderId="23" xfId="0" applyNumberFormat="1" applyFont="1" applyBorder="1"/>
    <xf numFmtId="0" fontId="2" fillId="0" borderId="1" xfId="0" applyFont="1" applyBorder="1"/>
    <xf numFmtId="0" fontId="7" fillId="9" borderId="18" xfId="0" applyFont="1" applyFill="1" applyBorder="1" applyAlignment="1">
      <alignment horizontal="center" vertical="center" wrapText="1"/>
    </xf>
    <xf numFmtId="0" fontId="0" fillId="3" borderId="1" xfId="0" applyFill="1" applyBorder="1" applyAlignment="1">
      <alignment horizontal="left"/>
    </xf>
    <xf numFmtId="10" fontId="0" fillId="3" borderId="1" xfId="0" applyNumberFormat="1" applyFill="1" applyBorder="1"/>
    <xf numFmtId="165" fontId="0" fillId="3" borderId="1" xfId="0" applyNumberFormat="1" applyFill="1" applyBorder="1"/>
    <xf numFmtId="0" fontId="0" fillId="5" borderId="7" xfId="0" applyFill="1" applyBorder="1" applyAlignment="1">
      <alignment horizontal="center" vertical="center" wrapText="1"/>
    </xf>
    <xf numFmtId="165" fontId="0" fillId="5" borderId="16" xfId="0" applyNumberFormat="1" applyFill="1" applyBorder="1" applyAlignment="1">
      <alignment horizontal="right" vertical="center" wrapText="1"/>
    </xf>
    <xf numFmtId="0" fontId="0" fillId="6" borderId="7" xfId="0" applyFill="1" applyBorder="1" applyAlignment="1">
      <alignment horizontal="center" vertical="center" wrapText="1"/>
    </xf>
    <xf numFmtId="0" fontId="0" fillId="0" borderId="24" xfId="0" applyBorder="1"/>
    <xf numFmtId="0" fontId="0" fillId="11" borderId="8" xfId="0" applyFill="1" applyBorder="1" applyAlignment="1">
      <alignment vertical="center" wrapText="1"/>
    </xf>
    <xf numFmtId="0" fontId="0" fillId="11" borderId="7" xfId="0" applyFill="1" applyBorder="1" applyAlignment="1">
      <alignment horizontal="center" vertical="center" wrapText="1"/>
    </xf>
    <xf numFmtId="14" fontId="0" fillId="11" borderId="7" xfId="0" applyNumberFormat="1" applyFill="1" applyBorder="1" applyAlignment="1">
      <alignment horizontal="center" vertical="center" wrapText="1"/>
    </xf>
    <xf numFmtId="165" fontId="0" fillId="11" borderId="8" xfId="0" applyNumberFormat="1" applyFill="1" applyBorder="1" applyAlignment="1">
      <alignment horizontal="right" vertical="center" wrapText="1"/>
    </xf>
    <xf numFmtId="0" fontId="0" fillId="6" borderId="7" xfId="0" applyFill="1" applyBorder="1" applyAlignment="1">
      <alignment vertical="center" wrapText="1"/>
    </xf>
    <xf numFmtId="17" fontId="0" fillId="6" borderId="7" xfId="0" applyNumberFormat="1" applyFill="1" applyBorder="1" applyAlignment="1">
      <alignment horizontal="center" vertical="center" wrapText="1"/>
    </xf>
    <xf numFmtId="0" fontId="5" fillId="4" borderId="25"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0" fillId="11" borderId="9" xfId="0" applyFill="1" applyBorder="1" applyAlignment="1">
      <alignment vertical="center" wrapText="1"/>
    </xf>
    <xf numFmtId="0" fontId="0" fillId="11" borderId="9" xfId="0" applyFill="1" applyBorder="1" applyAlignment="1">
      <alignment horizontal="center" vertical="center" wrapText="1"/>
    </xf>
    <xf numFmtId="165" fontId="0" fillId="11" borderId="9" xfId="0" applyNumberFormat="1" applyFill="1" applyBorder="1" applyAlignment="1">
      <alignment horizontal="right" vertical="center" wrapText="1"/>
    </xf>
    <xf numFmtId="0" fontId="5" fillId="4" borderId="9" xfId="0" applyFont="1" applyFill="1" applyBorder="1" applyAlignment="1">
      <alignment horizontal="center" vertical="center" wrapText="1"/>
    </xf>
    <xf numFmtId="0" fontId="0" fillId="0" borderId="1" xfId="0" applyBorder="1" applyAlignment="1">
      <alignment horizontal="center"/>
    </xf>
    <xf numFmtId="14" fontId="12" fillId="13" borderId="1" xfId="0" applyNumberFormat="1" applyFont="1" applyFill="1" applyBorder="1" applyAlignment="1">
      <alignment horizontal="center" vertical="center" wrapText="1"/>
    </xf>
    <xf numFmtId="0" fontId="13" fillId="13" borderId="1" xfId="0" applyFont="1" applyFill="1" applyBorder="1" applyAlignment="1">
      <alignment horizontal="center" vertical="center" wrapText="1"/>
    </xf>
    <xf numFmtId="14" fontId="12" fillId="14" borderId="1" xfId="0" applyNumberFormat="1" applyFont="1" applyFill="1" applyBorder="1" applyAlignment="1">
      <alignment horizontal="center" vertical="center" wrapText="1"/>
    </xf>
    <xf numFmtId="0" fontId="13" fillId="14" borderId="1" xfId="0" applyFont="1" applyFill="1" applyBorder="1" applyAlignment="1">
      <alignment horizontal="center" vertical="center" wrapText="1"/>
    </xf>
    <xf numFmtId="171" fontId="0" fillId="0" borderId="1" xfId="0" applyNumberFormat="1" applyBorder="1" applyAlignment="1">
      <alignment horizontal="center"/>
    </xf>
    <xf numFmtId="0" fontId="0" fillId="11" borderId="8" xfId="0" applyFill="1" applyBorder="1" applyAlignment="1">
      <alignment wrapText="1"/>
    </xf>
    <xf numFmtId="0" fontId="0" fillId="5" borderId="9" xfId="0" applyFill="1" applyBorder="1" applyAlignment="1">
      <alignment vertical="center" wrapText="1"/>
    </xf>
    <xf numFmtId="17" fontId="0" fillId="11" borderId="7" xfId="0" applyNumberFormat="1" applyFill="1" applyBorder="1" applyAlignment="1">
      <alignment horizontal="center" vertical="center"/>
    </xf>
    <xf numFmtId="0" fontId="0" fillId="11" borderId="7" xfId="0" applyFill="1" applyBorder="1" applyAlignment="1">
      <alignment horizontal="center" vertical="center"/>
    </xf>
    <xf numFmtId="0" fontId="0" fillId="5" borderId="9" xfId="0" applyFill="1" applyBorder="1" applyAlignment="1">
      <alignment horizontal="center" vertical="center" wrapText="1"/>
    </xf>
    <xf numFmtId="17" fontId="0" fillId="12" borderId="7" xfId="0" applyNumberFormat="1" applyFill="1" applyBorder="1" applyAlignment="1">
      <alignment horizontal="center"/>
    </xf>
    <xf numFmtId="0" fontId="0" fillId="11" borderId="7" xfId="0" applyFill="1" applyBorder="1" applyAlignment="1">
      <alignment horizontal="center" wrapText="1"/>
    </xf>
    <xf numFmtId="14" fontId="0" fillId="11" borderId="7" xfId="0" applyNumberFormat="1" applyFill="1" applyBorder="1" applyAlignment="1">
      <alignment horizontal="center" vertical="center"/>
    </xf>
    <xf numFmtId="14" fontId="0" fillId="11" borderId="9" xfId="0" applyNumberFormat="1" applyFill="1" applyBorder="1" applyAlignment="1">
      <alignment horizontal="center" vertical="center" wrapText="1"/>
    </xf>
    <xf numFmtId="14" fontId="0" fillId="5" borderId="9" xfId="0" applyNumberFormat="1" applyFill="1" applyBorder="1" applyAlignment="1">
      <alignment horizontal="center" vertical="center" wrapText="1"/>
    </xf>
    <xf numFmtId="0" fontId="0" fillId="12" borderId="7" xfId="0" applyFill="1" applyBorder="1" applyAlignment="1">
      <alignment horizontal="center"/>
    </xf>
    <xf numFmtId="165" fontId="0" fillId="11" borderId="8" xfId="0" applyNumberFormat="1" applyFill="1" applyBorder="1" applyAlignment="1">
      <alignment horizontal="center" vertical="center"/>
    </xf>
    <xf numFmtId="165" fontId="0" fillId="5" borderId="9" xfId="0" applyNumberFormat="1" applyFill="1" applyBorder="1" applyAlignment="1">
      <alignment horizontal="right" vertical="center" wrapText="1"/>
    </xf>
    <xf numFmtId="14" fontId="0" fillId="12" borderId="7" xfId="0" applyNumberFormat="1" applyFill="1" applyBorder="1" applyAlignment="1">
      <alignment horizontal="center"/>
    </xf>
    <xf numFmtId="0" fontId="0" fillId="11" borderId="7" xfId="0" applyFill="1" applyBorder="1" applyAlignment="1">
      <alignment horizontal="left" vertical="center" wrapText="1"/>
    </xf>
    <xf numFmtId="165" fontId="0" fillId="0" borderId="1" xfId="0" applyNumberFormat="1" applyBorder="1"/>
    <xf numFmtId="10" fontId="0" fillId="0" borderId="1" xfId="0" applyNumberFormat="1" applyBorder="1"/>
    <xf numFmtId="0" fontId="0" fillId="3" borderId="1" xfId="0" applyFill="1" applyBorder="1"/>
    <xf numFmtId="9" fontId="0" fillId="3" borderId="1" xfId="0" applyNumberFormat="1" applyFill="1" applyBorder="1"/>
    <xf numFmtId="0" fontId="0" fillId="12" borderId="7" xfId="0" applyFill="1" applyBorder="1" applyAlignment="1">
      <alignment horizontal="center" vertical="center" wrapText="1"/>
    </xf>
    <xf numFmtId="0" fontId="0" fillId="12" borderId="8" xfId="0" applyFill="1" applyBorder="1" applyAlignment="1">
      <alignment vertical="center" wrapText="1"/>
    </xf>
    <xf numFmtId="0" fontId="0" fillId="5" borderId="25" xfId="0" applyFill="1" applyBorder="1" applyAlignment="1">
      <alignment vertical="center" wrapText="1"/>
    </xf>
    <xf numFmtId="0" fontId="0" fillId="5" borderId="26" xfId="0" applyFill="1" applyBorder="1" applyAlignment="1">
      <alignment horizontal="center" vertical="center" wrapText="1"/>
    </xf>
    <xf numFmtId="14" fontId="0" fillId="5" borderId="26" xfId="0" applyNumberFormat="1" applyFill="1" applyBorder="1" applyAlignment="1">
      <alignment horizontal="center" vertical="center" wrapText="1"/>
    </xf>
    <xf numFmtId="14" fontId="16" fillId="13" borderId="9" xfId="0" applyNumberFormat="1" applyFont="1" applyFill="1" applyBorder="1" applyAlignment="1">
      <alignment horizontal="center" vertical="center" wrapText="1"/>
    </xf>
    <xf numFmtId="0" fontId="16" fillId="13" borderId="9" xfId="0" applyFont="1" applyFill="1" applyBorder="1" applyAlignment="1">
      <alignment horizontal="center" vertical="center" wrapText="1"/>
    </xf>
    <xf numFmtId="0" fontId="0" fillId="0" borderId="0" xfId="0" applyAlignment="1">
      <alignment horizontal="center"/>
    </xf>
    <xf numFmtId="0" fontId="2" fillId="0" borderId="9" xfId="0" applyFont="1" applyBorder="1" applyAlignment="1">
      <alignment horizontal="center"/>
    </xf>
    <xf numFmtId="165" fontId="0" fillId="6" borderId="16" xfId="0" applyNumberFormat="1" applyFill="1" applyBorder="1" applyAlignment="1">
      <alignment horizontal="right" vertical="center" wrapText="1"/>
    </xf>
    <xf numFmtId="165" fontId="0" fillId="6" borderId="30" xfId="0" applyNumberFormat="1" applyFill="1" applyBorder="1" applyAlignment="1">
      <alignment horizontal="right" vertical="center" wrapText="1"/>
    </xf>
    <xf numFmtId="0" fontId="0" fillId="6" borderId="9" xfId="0" applyFill="1" applyBorder="1" applyAlignment="1">
      <alignment vertical="center" wrapText="1"/>
    </xf>
    <xf numFmtId="0" fontId="0" fillId="12" borderId="7" xfId="0" applyFill="1" applyBorder="1" applyAlignment="1">
      <alignment horizontal="center" vertical="center"/>
    </xf>
    <xf numFmtId="0" fontId="0" fillId="6" borderId="9" xfId="0" applyFill="1" applyBorder="1" applyAlignment="1">
      <alignment horizontal="center" vertical="center" wrapText="1"/>
    </xf>
    <xf numFmtId="0" fontId="0" fillId="12" borderId="7" xfId="0" applyFill="1" applyBorder="1" applyAlignment="1">
      <alignment horizontal="center" wrapText="1"/>
    </xf>
    <xf numFmtId="0" fontId="0" fillId="6" borderId="0" xfId="0" applyFill="1" applyAlignment="1">
      <alignment horizontal="center" vertical="center" wrapText="1"/>
    </xf>
    <xf numFmtId="0" fontId="0" fillId="5" borderId="27" xfId="0" applyFill="1" applyBorder="1" applyAlignment="1">
      <alignment horizontal="center" vertical="center" wrapText="1"/>
    </xf>
    <xf numFmtId="14" fontId="0" fillId="12" borderId="7" xfId="0" applyNumberFormat="1" applyFill="1" applyBorder="1" applyAlignment="1">
      <alignment horizontal="center" vertical="center"/>
    </xf>
    <xf numFmtId="14" fontId="0" fillId="6" borderId="28" xfId="0" applyNumberFormat="1" applyFill="1" applyBorder="1" applyAlignment="1">
      <alignment horizontal="center" vertical="center" wrapText="1"/>
    </xf>
    <xf numFmtId="0" fontId="0" fillId="6" borderId="29" xfId="0" applyFill="1" applyBorder="1" applyAlignment="1">
      <alignment horizontal="center" vertical="center" wrapText="1"/>
    </xf>
    <xf numFmtId="165" fontId="0" fillId="6" borderId="29" xfId="0" applyNumberFormat="1" applyFill="1" applyBorder="1" applyAlignment="1">
      <alignment horizontal="right" vertical="center" wrapText="1"/>
    </xf>
    <xf numFmtId="165" fontId="0" fillId="5" borderId="27" xfId="0" applyNumberFormat="1" applyFill="1" applyBorder="1" applyAlignment="1">
      <alignment horizontal="right" vertical="center" wrapText="1"/>
    </xf>
    <xf numFmtId="14" fontId="0" fillId="6" borderId="9" xfId="0" applyNumberFormat="1" applyFill="1" applyBorder="1" applyAlignment="1">
      <alignment horizontal="center" vertical="center" wrapText="1"/>
    </xf>
    <xf numFmtId="14" fontId="0" fillId="5" borderId="27" xfId="0" applyNumberFormat="1" applyFill="1" applyBorder="1" applyAlignment="1">
      <alignment horizontal="center" vertical="center" wrapText="1"/>
    </xf>
    <xf numFmtId="0" fontId="2" fillId="3" borderId="1" xfId="0" applyFont="1" applyFill="1" applyBorder="1" applyAlignment="1">
      <alignment horizont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9" fontId="2" fillId="0" borderId="2" xfId="0" applyNumberFormat="1" applyFont="1" applyBorder="1" applyAlignment="1">
      <alignment horizontal="center" vertical="center"/>
    </xf>
    <xf numFmtId="9" fontId="2" fillId="0" borderId="3" xfId="0" applyNumberFormat="1" applyFont="1" applyBorder="1" applyAlignment="1">
      <alignment horizontal="center" vertical="center"/>
    </xf>
    <xf numFmtId="0" fontId="0" fillId="0" borderId="6" xfId="0" applyBorder="1" applyAlignment="1">
      <alignment horizontal="left" vertical="center"/>
    </xf>
    <xf numFmtId="165" fontId="3" fillId="0" borderId="2" xfId="0" applyNumberFormat="1" applyFont="1" applyBorder="1" applyAlignment="1">
      <alignment horizontal="center" vertical="center"/>
    </xf>
    <xf numFmtId="165" fontId="3" fillId="0" borderId="6" xfId="0" applyNumberFormat="1" applyFont="1" applyBorder="1" applyAlignment="1">
      <alignment horizontal="center" vertical="center"/>
    </xf>
    <xf numFmtId="165" fontId="3" fillId="0" borderId="3" xfId="0" applyNumberFormat="1" applyFont="1" applyBorder="1" applyAlignment="1">
      <alignment horizontal="center" vertical="center"/>
    </xf>
    <xf numFmtId="0" fontId="0" fillId="0" borderId="12" xfId="0" applyBorder="1" applyAlignment="1">
      <alignment horizontal="center"/>
    </xf>
    <xf numFmtId="0" fontId="0" fillId="0" borderId="13" xfId="0" applyBorder="1" applyAlignment="1">
      <alignment horizontal="center"/>
    </xf>
    <xf numFmtId="0" fontId="6" fillId="3" borderId="10" xfId="0" applyFont="1" applyFill="1" applyBorder="1" applyAlignment="1">
      <alignment horizontal="center"/>
    </xf>
    <xf numFmtId="0" fontId="6" fillId="3" borderId="14" xfId="0" applyFont="1" applyFill="1" applyBorder="1" applyAlignment="1">
      <alignment horizontal="center"/>
    </xf>
    <xf numFmtId="0" fontId="6" fillId="3" borderId="15" xfId="0" applyFont="1" applyFill="1" applyBorder="1" applyAlignment="1">
      <alignment horizontal="center"/>
    </xf>
    <xf numFmtId="0" fontId="7" fillId="0" borderId="19" xfId="0" applyFont="1" applyBorder="1" applyAlignment="1">
      <alignment horizontal="center"/>
    </xf>
    <xf numFmtId="0" fontId="9" fillId="0" borderId="20" xfId="0" applyFont="1" applyBorder="1"/>
    <xf numFmtId="0" fontId="0" fillId="0" borderId="1" xfId="0" applyBorder="1" applyAlignment="1">
      <alignment horizontal="center"/>
    </xf>
    <xf numFmtId="0" fontId="15" fillId="0" borderId="9" xfId="0" applyFont="1" applyBorder="1" applyAlignment="1">
      <alignment horizontal="center"/>
    </xf>
  </cellXfs>
  <cellStyles count="3">
    <cellStyle name="Millares" xfId="1" builtinId="3"/>
    <cellStyle name="Normal" xfId="0" builtinId="0"/>
    <cellStyle name="Porcentaje" xfId="2" builtinId="5"/>
  </cellStyles>
  <dxfs count="38">
    <dxf>
      <numFmt numFmtId="1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 ;_-[$$-409]* \-#,##0\ ;_-[$$-409]* &quot;-&quot;??_ ;_-@_ "/>
    </dxf>
    <dxf>
      <numFmt numFmtId="173" formatCode="_-[$$-409]* #,##0.0_ ;_-[$$-409]* \-#,##0.0\ ;_-[$$-409]* &quot;-&quot;??_ ;_-@_ "/>
    </dxf>
    <dxf>
      <numFmt numFmtId="174" formatCode="_-[$$-409]* #,##0.00_ ;_-[$$-409]* \-#,##0.00\ ;_-[$$-409]* &quot;-&quot;??_ ;_-@_ "/>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ont>
        <b/>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numFmt numFmtId="165" formatCode="_-[$$-409]* #,##0_ ;_-[$$-409]* \-#,##0\ ;_-[$$-409]* &quot;-&quot;??_ ;_-@_ "/>
    </dxf>
    <dxf>
      <numFmt numFmtId="173" formatCode="_-[$$-409]* #,##0.0_ ;_-[$$-409]* \-#,##0.0\ ;_-[$$-409]* &quot;-&quot;??_ ;_-@_ "/>
    </dxf>
    <dxf>
      <numFmt numFmtId="174" formatCode="_-[$$-409]* #,##0.00_ ;_-[$$-409]* \-#,##0.00\ ;_-[$$-409]* &quot;-&quot;??_ ;_-@_ "/>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[Balances OPENLAND 2026.xlsx]BALANCE ENERO 2026!TablaDinámica2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2400" b="1" i="0" baseline="0">
                <a:effectLst/>
              </a:rPr>
              <a:t>Distribucion de Costos y Gastos</a:t>
            </a:r>
            <a:endParaRPr lang="en-US" sz="2400">
              <a:effectLst/>
            </a:endParaRPr>
          </a:p>
        </c:rich>
      </c:tx>
      <c:layout>
        <c:manualLayout>
          <c:xMode val="edge"/>
          <c:yMode val="edge"/>
          <c:x val="7.0789727554515611E-2"/>
          <c:y val="5.44629995461074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pivotFmt>
      <c:pivotFmt>
        <c:idx val="77"/>
        <c:spPr>
          <a:solidFill>
            <a:schemeClr val="accent1"/>
          </a:solidFill>
          <a:ln>
            <a:noFill/>
          </a:ln>
          <a:effectLst>
            <a:outerShdw blurRad="317500" algn="ctr" rotWithShape="0">
              <a:prstClr val="black">
                <a:alpha val="25000"/>
              </a:prstClr>
            </a:outerShdw>
          </a:effectLst>
        </c:spPr>
      </c:pivotFmt>
      <c:pivotFmt>
        <c:idx val="78"/>
        <c:spPr>
          <a:solidFill>
            <a:schemeClr val="accent1"/>
          </a:solidFill>
          <a:ln>
            <a:noFill/>
          </a:ln>
          <a:effectLst>
            <a:outerShdw blurRad="317500" algn="ctr" rotWithShape="0">
              <a:prstClr val="black">
                <a:alpha val="25000"/>
              </a:prstClr>
            </a:outerShdw>
          </a:effectLst>
        </c:spPr>
      </c:pivotFmt>
      <c:pivotFmt>
        <c:idx val="79"/>
        <c:spPr>
          <a:solidFill>
            <a:schemeClr val="accent1"/>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1.9101126552859549E-2"/>
          <c:y val="0.107143993560515"/>
          <c:w val="0.6220973713766611"/>
          <c:h val="0.50947005428029291"/>
        </c:manualLayout>
      </c:layout>
      <c:pieChart>
        <c:varyColors val="1"/>
        <c:ser>
          <c:idx val="0"/>
          <c:order val="0"/>
          <c:tx>
            <c:strRef>
              <c:f>'BALANCE ENERO 2026'!$D$31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3FB-407A-8B81-862F7076ADC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3FB-407A-8B81-862F7076ADC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3FB-407A-8B81-862F7076ADC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3FB-407A-8B81-862F7076ADC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3FB-407A-8B81-862F7076ADC0}"/>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3FB-407A-8B81-862F7076ADC0}"/>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93FB-407A-8B81-862F7076ADC0}"/>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93FB-407A-8B81-862F7076ADC0}"/>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93FB-407A-8B81-862F7076ADC0}"/>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93FB-407A-8B81-862F7076ADC0}"/>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93FB-407A-8B81-862F7076ADC0}"/>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93FB-407A-8B81-862F7076ADC0}"/>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93FB-407A-8B81-862F7076ADC0}"/>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93FB-407A-8B81-862F7076ADC0}"/>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93FB-407A-8B81-862F7076ADC0}"/>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93FB-407A-8B81-862F7076ADC0}"/>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93FB-407A-8B81-862F7076ADC0}"/>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93FB-407A-8B81-862F7076ADC0}"/>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93FB-407A-8B81-862F7076AD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'BALANCE ENERO 2026'!$C$32:$C$51</c:f>
              <c:strCache>
                <c:ptCount val="19"/>
                <c:pt idx="0">
                  <c:v>Nominas y prestaciones (Nominas, Examenes medicos, dotacion, Seguridad social)</c:v>
                </c:pt>
                <c:pt idx="1">
                  <c:v>Arrendamientos Operativos</c:v>
                </c:pt>
                <c:pt idx="2">
                  <c:v>Servicio transporte agua de produccion</c:v>
                </c:pt>
                <c:pt idx="3">
                  <c:v>Servicios Integrales (Multiples servicios para el desarrollo de la operación en campo)</c:v>
                </c:pt>
                <c:pt idx="4">
                  <c:v>Combustible</c:v>
                </c:pt>
                <c:pt idx="5">
                  <c:v>Caja menor campo </c:v>
                </c:pt>
                <c:pt idx="6">
                  <c:v>Quimicos (quimicos Generales, Quimica para produccion, productos de aseo)</c:v>
                </c:pt>
                <c:pt idx="7">
                  <c:v>Provision Recursos Humanos</c:v>
                </c:pt>
                <c:pt idx="8">
                  <c:v>Comunidades</c:v>
                </c:pt>
                <c:pt idx="9">
                  <c:v>Mantenimiento vias (Transportes de maquinaria, materiales de cantera, irrigacion via)</c:v>
                </c:pt>
                <c:pt idx="10">
                  <c:v> Repuestos de Equipo Petrolero</c:v>
                </c:pt>
                <c:pt idx="11">
                  <c:v>Honorarios Administrativos</c:v>
                </c:pt>
                <c:pt idx="12">
                  <c:v>Provision equipo petrolero</c:v>
                </c:pt>
                <c:pt idx="13">
                  <c:v>Insumos ferreteria</c:v>
                </c:pt>
                <c:pt idx="14">
                  <c:v>Repuestos Generales</c:v>
                </c:pt>
                <c:pt idx="15">
                  <c:v>Servicios (Administracion, Energia, internet, telefonia y television)</c:v>
                </c:pt>
                <c:pt idx="16">
                  <c:v>Honorarios Operativos</c:v>
                </c:pt>
                <c:pt idx="17">
                  <c:v>Repuestos de Equipo Petrolero</c:v>
                </c:pt>
                <c:pt idx="18">
                  <c:v>Arrendamientos Administrativos</c:v>
                </c:pt>
              </c:strCache>
            </c:strRef>
          </c:cat>
          <c:val>
            <c:numRef>
              <c:f>'BALANCE ENERO 2026'!$D$32:$D$51</c:f>
              <c:numCache>
                <c:formatCode>_-[$$-409]* #,##0_ ;_-[$$-409]* \-#,##0\ ;_-[$$-409]* "-"??_ ;_-@_ </c:formatCode>
                <c:ptCount val="19"/>
                <c:pt idx="0">
                  <c:v>618949535</c:v>
                </c:pt>
                <c:pt idx="1">
                  <c:v>414512200</c:v>
                </c:pt>
                <c:pt idx="2">
                  <c:v>265600000</c:v>
                </c:pt>
                <c:pt idx="3">
                  <c:v>122948593</c:v>
                </c:pt>
                <c:pt idx="4">
                  <c:v>112383780</c:v>
                </c:pt>
                <c:pt idx="5">
                  <c:v>70043157</c:v>
                </c:pt>
                <c:pt idx="6">
                  <c:v>62580102</c:v>
                </c:pt>
                <c:pt idx="7">
                  <c:v>50937790</c:v>
                </c:pt>
                <c:pt idx="8">
                  <c:v>50000000</c:v>
                </c:pt>
                <c:pt idx="9">
                  <c:v>29722800</c:v>
                </c:pt>
                <c:pt idx="10">
                  <c:v>21573260</c:v>
                </c:pt>
                <c:pt idx="11">
                  <c:v>14147930</c:v>
                </c:pt>
                <c:pt idx="12">
                  <c:v>13952223.978557153</c:v>
                </c:pt>
                <c:pt idx="13">
                  <c:v>13913900</c:v>
                </c:pt>
                <c:pt idx="14">
                  <c:v>10714432</c:v>
                </c:pt>
                <c:pt idx="15">
                  <c:v>6331495</c:v>
                </c:pt>
                <c:pt idx="16">
                  <c:v>4000000</c:v>
                </c:pt>
                <c:pt idx="17">
                  <c:v>2143904</c:v>
                </c:pt>
                <c:pt idx="18">
                  <c:v>1908919</c:v>
                </c:pt>
              </c:numCache>
            </c:numRef>
          </c:val>
          <c:extLst>
            <c:ext xmlns:c16="http://schemas.microsoft.com/office/drawing/2014/chart" uri="{C3380CC4-5D6E-409C-BE32-E72D297353CC}">
              <c16:uniqueId val="{00000000-7F14-40F9-A402-4F7F29D615BC}"/>
            </c:ext>
          </c:extLst>
        </c:ser>
        <c:ser>
          <c:idx val="1"/>
          <c:order val="1"/>
          <c:tx>
            <c:strRef>
              <c:f>'BALANCE ENERO 2026'!$E$31</c:f>
              <c:strCache>
                <c:ptCount val="1"/>
                <c:pt idx="0">
                  <c:v>Porcentaje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93FB-407A-8B81-862F7076ADC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93FB-407A-8B81-862F7076ADC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93FB-407A-8B81-862F7076ADC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93FB-407A-8B81-862F7076ADC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93FB-407A-8B81-862F7076ADC0}"/>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93FB-407A-8B81-862F7076ADC0}"/>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93FB-407A-8B81-862F7076ADC0}"/>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93FB-407A-8B81-862F7076ADC0}"/>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93FB-407A-8B81-862F7076ADC0}"/>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93FB-407A-8B81-862F7076ADC0}"/>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93FB-407A-8B81-862F7076ADC0}"/>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93FB-407A-8B81-862F7076ADC0}"/>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93FB-407A-8B81-862F7076ADC0}"/>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93FB-407A-8B81-862F7076ADC0}"/>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3-93FB-407A-8B81-862F7076ADC0}"/>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5-93FB-407A-8B81-862F7076ADC0}"/>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7-93FB-407A-8B81-862F7076ADC0}"/>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9-93FB-407A-8B81-862F7076ADC0}"/>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B-93FB-407A-8B81-862F7076AD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'BALANCE ENERO 2026'!$C$32:$C$51</c:f>
              <c:strCache>
                <c:ptCount val="19"/>
                <c:pt idx="0">
                  <c:v>Nominas y prestaciones (Nominas, Examenes medicos, dotacion, Seguridad social)</c:v>
                </c:pt>
                <c:pt idx="1">
                  <c:v>Arrendamientos Operativos</c:v>
                </c:pt>
                <c:pt idx="2">
                  <c:v>Servicio transporte agua de produccion</c:v>
                </c:pt>
                <c:pt idx="3">
                  <c:v>Servicios Integrales (Multiples servicios para el desarrollo de la operación en campo)</c:v>
                </c:pt>
                <c:pt idx="4">
                  <c:v>Combustible</c:v>
                </c:pt>
                <c:pt idx="5">
                  <c:v>Caja menor campo </c:v>
                </c:pt>
                <c:pt idx="6">
                  <c:v>Quimicos (quimicos Generales, Quimica para produccion, productos de aseo)</c:v>
                </c:pt>
                <c:pt idx="7">
                  <c:v>Provision Recursos Humanos</c:v>
                </c:pt>
                <c:pt idx="8">
                  <c:v>Comunidades</c:v>
                </c:pt>
                <c:pt idx="9">
                  <c:v>Mantenimiento vias (Transportes de maquinaria, materiales de cantera, irrigacion via)</c:v>
                </c:pt>
                <c:pt idx="10">
                  <c:v> Repuestos de Equipo Petrolero</c:v>
                </c:pt>
                <c:pt idx="11">
                  <c:v>Honorarios Administrativos</c:v>
                </c:pt>
                <c:pt idx="12">
                  <c:v>Provision equipo petrolero</c:v>
                </c:pt>
                <c:pt idx="13">
                  <c:v>Insumos ferreteria</c:v>
                </c:pt>
                <c:pt idx="14">
                  <c:v>Repuestos Generales</c:v>
                </c:pt>
                <c:pt idx="15">
                  <c:v>Servicios (Administracion, Energia, internet, telefonia y television)</c:v>
                </c:pt>
                <c:pt idx="16">
                  <c:v>Honorarios Operativos</c:v>
                </c:pt>
                <c:pt idx="17">
                  <c:v>Repuestos de Equipo Petrolero</c:v>
                </c:pt>
                <c:pt idx="18">
                  <c:v>Arrendamientos Administrativos</c:v>
                </c:pt>
              </c:strCache>
            </c:strRef>
          </c:cat>
          <c:val>
            <c:numRef>
              <c:f>'BALANCE ENERO 2026'!$E$32:$E$51</c:f>
              <c:numCache>
                <c:formatCode>0.00%</c:formatCode>
                <c:ptCount val="19"/>
                <c:pt idx="0">
                  <c:v>0.32811775888246536</c:v>
                </c:pt>
                <c:pt idx="1">
                  <c:v>0.2197413624253555</c:v>
                </c:pt>
                <c:pt idx="2">
                  <c:v>0.14079997129197747</c:v>
                </c:pt>
                <c:pt idx="3">
                  <c:v>6.5177554084296013E-2</c:v>
                </c:pt>
                <c:pt idx="4">
                  <c:v>5.9576931467183396E-2</c:v>
                </c:pt>
                <c:pt idx="5">
                  <c:v>3.7131304573793183E-2</c:v>
                </c:pt>
                <c:pt idx="6">
                  <c:v>3.3174987067202642E-2</c:v>
                </c:pt>
                <c:pt idx="7">
                  <c:v>2.7003160277397503E-2</c:v>
                </c:pt>
                <c:pt idx="8">
                  <c:v>2.6506018692013827E-2</c:v>
                </c:pt>
                <c:pt idx="9">
                  <c:v>1.5756661847579772E-2</c:v>
                </c:pt>
                <c:pt idx="10">
                  <c:v>1.1436424656153485E-2</c:v>
                </c:pt>
                <c:pt idx="11">
                  <c:v>7.5001059406660641E-3</c:v>
                </c:pt>
                <c:pt idx="12">
                  <c:v>7.3963581914159885E-3</c:v>
                </c:pt>
                <c:pt idx="13">
                  <c:v>7.3760418695762242E-3</c:v>
                </c:pt>
                <c:pt idx="14">
                  <c:v>5.6799386973262218E-3</c:v>
                </c:pt>
                <c:pt idx="15">
                  <c:v>3.3564544963678418E-3</c:v>
                </c:pt>
                <c:pt idx="16">
                  <c:v>2.1204814953611063E-3</c:v>
                </c:pt>
                <c:pt idx="17">
                  <c:v>1.1365271899576642E-3</c:v>
                </c:pt>
                <c:pt idx="18">
                  <c:v>1.0119568539108069E-3</c:v>
                </c:pt>
              </c:numCache>
            </c:numRef>
          </c:val>
          <c:extLst>
            <c:ext xmlns:c16="http://schemas.microsoft.com/office/drawing/2014/chart" uri="{C3380CC4-5D6E-409C-BE32-E72D297353CC}">
              <c16:uniqueId val="{0000005E-7F14-40F9-A402-4F7F29D615B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507490612059517"/>
          <c:y val="2.2314843764273955E-3"/>
          <c:w val="0.33333333333333331"/>
          <c:h val="0.9969961153561920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[Balances OPENLAND 2026.xlsx]BALANCE FEBRERO 2026!TablaDinámica1</c:name>
    <c:fmtId val="0"/>
  </c:pivotSource>
  <c:chart>
    <c:title>
      <c:tx>
        <c:rich>
          <a:bodyPr rot="0" spcFirstLastPara="1" vertOverflow="ellipsis" vert="horz" wrap="square" anchor="ctr" anchorCtr="1"/>
          <a:lstStyle/>
          <a:p>
            <a:pPr>
              <a:defRPr sz="2400" b="1" i="0" u="none" strike="noStrike" kern="1200" baseline="0">
                <a:solidFill>
                  <a:schemeClr val="dk1">
                    <a:lumMod val="65000"/>
                    <a:lumOff val="35000"/>
                  </a:schemeClr>
                </a:solidFill>
                <a:latin typeface="+mn-lt"/>
                <a:ea typeface="+mn-ea"/>
                <a:cs typeface="+mn-cs"/>
              </a:defRPr>
            </a:pPr>
            <a:r>
              <a:rPr lang="en-US" sz="2400"/>
              <a:t>Distribucion de</a:t>
            </a:r>
            <a:r>
              <a:rPr lang="en-US" sz="2400" baseline="0"/>
              <a:t> Costos y Gastos</a:t>
            </a:r>
            <a:endParaRPr lang="en-US" sz="2400"/>
          </a:p>
        </c:rich>
      </c:tx>
      <c:layout>
        <c:manualLayout>
          <c:xMode val="edge"/>
          <c:yMode val="edge"/>
          <c:x val="7.2150074199985204E-2"/>
          <c:y val="4.948178136107844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0"/>
        <c:spPr>
          <a:solidFill>
            <a:schemeClr val="accent1"/>
          </a:solidFill>
          <a:ln>
            <a:noFill/>
          </a:ln>
          <a:effectLst>
            <a:outerShdw blurRad="317500" algn="ctr" rotWithShape="0">
              <a:prstClr val="black">
                <a:alpha val="25000"/>
              </a:prstClr>
            </a:outerShdw>
          </a:effectLst>
        </c:spPr>
      </c:pivotFmt>
      <c:pivotFmt>
        <c:idx val="101"/>
        <c:spPr>
          <a:solidFill>
            <a:schemeClr val="accent1"/>
          </a:solidFill>
          <a:ln>
            <a:noFill/>
          </a:ln>
          <a:effectLst>
            <a:outerShdw blurRad="317500" algn="ctr" rotWithShape="0">
              <a:prstClr val="black">
                <a:alpha val="25000"/>
              </a:prstClr>
            </a:outerShdw>
          </a:effectLst>
        </c:spPr>
      </c:pivotFmt>
      <c:pivotFmt>
        <c:idx val="102"/>
        <c:spPr>
          <a:solidFill>
            <a:schemeClr val="accent1"/>
          </a:solidFill>
          <a:ln>
            <a:noFill/>
          </a:ln>
          <a:effectLst>
            <a:outerShdw blurRad="317500" algn="ctr" rotWithShape="0">
              <a:prstClr val="black">
                <a:alpha val="25000"/>
              </a:prstClr>
            </a:outerShdw>
          </a:effectLst>
        </c:spPr>
      </c:pivotFmt>
      <c:pivotFmt>
        <c:idx val="103"/>
        <c:spPr>
          <a:solidFill>
            <a:schemeClr val="accent1"/>
          </a:solidFill>
          <a:ln>
            <a:noFill/>
          </a:ln>
          <a:effectLst>
            <a:outerShdw blurRad="317500" algn="ctr" rotWithShape="0">
              <a:prstClr val="black">
                <a:alpha val="25000"/>
              </a:prstClr>
            </a:outerShdw>
          </a:effectLst>
        </c:spPr>
      </c:pivotFmt>
      <c:pivotFmt>
        <c:idx val="104"/>
        <c:spPr>
          <a:solidFill>
            <a:schemeClr val="accent1"/>
          </a:solidFill>
          <a:ln>
            <a:noFill/>
          </a:ln>
          <a:effectLst>
            <a:outerShdw blurRad="317500" algn="ctr" rotWithShape="0">
              <a:prstClr val="black">
                <a:alpha val="25000"/>
              </a:prstClr>
            </a:outerShdw>
          </a:effectLst>
        </c:spPr>
      </c:pivotFmt>
      <c:pivotFmt>
        <c:idx val="105"/>
        <c:spPr>
          <a:solidFill>
            <a:schemeClr val="accent1"/>
          </a:solidFill>
          <a:ln>
            <a:noFill/>
          </a:ln>
          <a:effectLst>
            <a:outerShdw blurRad="317500" algn="ctr" rotWithShape="0">
              <a:prstClr val="black">
                <a:alpha val="25000"/>
              </a:prstClr>
            </a:outerShdw>
          </a:effectLst>
        </c:spPr>
      </c:pivotFmt>
      <c:pivotFmt>
        <c:idx val="106"/>
        <c:spPr>
          <a:solidFill>
            <a:schemeClr val="accent1"/>
          </a:solidFill>
          <a:ln>
            <a:noFill/>
          </a:ln>
          <a:effectLst>
            <a:outerShdw blurRad="317500" algn="ctr" rotWithShape="0">
              <a:prstClr val="black">
                <a:alpha val="25000"/>
              </a:prstClr>
            </a:outerShdw>
          </a:effectLst>
        </c:spPr>
      </c:pivotFmt>
      <c:pivotFmt>
        <c:idx val="107"/>
        <c:spPr>
          <a:solidFill>
            <a:schemeClr val="accent1"/>
          </a:solidFill>
          <a:ln>
            <a:noFill/>
          </a:ln>
          <a:effectLst>
            <a:outerShdw blurRad="317500" algn="ctr" rotWithShape="0">
              <a:prstClr val="black">
                <a:alpha val="25000"/>
              </a:prstClr>
            </a:outerShdw>
          </a:effectLst>
        </c:spPr>
      </c:pivotFmt>
      <c:pivotFmt>
        <c:idx val="108"/>
        <c:spPr>
          <a:solidFill>
            <a:schemeClr val="accent1"/>
          </a:solidFill>
          <a:ln>
            <a:noFill/>
          </a:ln>
          <a:effectLst>
            <a:outerShdw blurRad="317500" algn="ctr" rotWithShape="0">
              <a:prstClr val="black">
                <a:alpha val="25000"/>
              </a:prstClr>
            </a:outerShdw>
          </a:effectLst>
        </c:spPr>
      </c:pivotFmt>
      <c:pivotFmt>
        <c:idx val="109"/>
        <c:spPr>
          <a:solidFill>
            <a:schemeClr val="accent1"/>
          </a:solidFill>
          <a:ln>
            <a:noFill/>
          </a:ln>
          <a:effectLst>
            <a:outerShdw blurRad="317500" algn="ctr" rotWithShape="0">
              <a:prstClr val="black">
                <a:alpha val="25000"/>
              </a:prstClr>
            </a:outerShdw>
          </a:effectLst>
        </c:spPr>
      </c:pivotFmt>
      <c:pivotFmt>
        <c:idx val="110"/>
        <c:spPr>
          <a:solidFill>
            <a:schemeClr val="accent1"/>
          </a:solidFill>
          <a:ln>
            <a:noFill/>
          </a:ln>
          <a:effectLst>
            <a:outerShdw blurRad="317500" algn="ctr" rotWithShape="0">
              <a:prstClr val="black">
                <a:alpha val="25000"/>
              </a:prstClr>
            </a:outerShdw>
          </a:effectLst>
        </c:spPr>
      </c:pivotFmt>
      <c:pivotFmt>
        <c:idx val="111"/>
        <c:spPr>
          <a:solidFill>
            <a:schemeClr val="accent1"/>
          </a:solidFill>
          <a:ln>
            <a:noFill/>
          </a:ln>
          <a:effectLst>
            <a:outerShdw blurRad="317500" algn="ctr" rotWithShape="0">
              <a:prstClr val="black">
                <a:alpha val="25000"/>
              </a:prstClr>
            </a:outerShdw>
          </a:effectLst>
        </c:spPr>
      </c:pivotFmt>
      <c:pivotFmt>
        <c:idx val="112"/>
        <c:spPr>
          <a:solidFill>
            <a:schemeClr val="accent1"/>
          </a:solidFill>
          <a:ln>
            <a:noFill/>
          </a:ln>
          <a:effectLst>
            <a:outerShdw blurRad="317500" algn="ctr" rotWithShape="0">
              <a:prstClr val="black">
                <a:alpha val="25000"/>
              </a:prstClr>
            </a:outerShdw>
          </a:effectLst>
        </c:spPr>
      </c:pivotFmt>
      <c:pivotFmt>
        <c:idx val="113"/>
        <c:spPr>
          <a:solidFill>
            <a:schemeClr val="accent1"/>
          </a:solidFill>
          <a:ln>
            <a:noFill/>
          </a:ln>
          <a:effectLst>
            <a:outerShdw blurRad="317500" algn="ctr" rotWithShape="0">
              <a:prstClr val="black">
                <a:alpha val="25000"/>
              </a:prstClr>
            </a:outerShdw>
          </a:effectLst>
        </c:spPr>
      </c:pivotFmt>
      <c:pivotFmt>
        <c:idx val="114"/>
        <c:spPr>
          <a:solidFill>
            <a:schemeClr val="accent1"/>
          </a:solidFill>
          <a:ln>
            <a:noFill/>
          </a:ln>
          <a:effectLst>
            <a:outerShdw blurRad="317500" algn="ctr" rotWithShape="0">
              <a:prstClr val="black">
                <a:alpha val="25000"/>
              </a:prstClr>
            </a:outerShdw>
          </a:effectLst>
        </c:spPr>
      </c:pivotFmt>
      <c:pivotFmt>
        <c:idx val="115"/>
        <c:spPr>
          <a:solidFill>
            <a:schemeClr val="accent1"/>
          </a:solidFill>
          <a:ln>
            <a:noFill/>
          </a:ln>
          <a:effectLst>
            <a:outerShdw blurRad="317500" algn="ctr" rotWithShape="0">
              <a:prstClr val="black">
                <a:alpha val="25000"/>
              </a:prstClr>
            </a:outerShdw>
          </a:effectLst>
        </c:spPr>
      </c:pivotFmt>
      <c:pivotFmt>
        <c:idx val="116"/>
        <c:spPr>
          <a:solidFill>
            <a:schemeClr val="accent1"/>
          </a:solidFill>
          <a:ln>
            <a:noFill/>
          </a:ln>
          <a:effectLst>
            <a:outerShdw blurRad="317500" algn="ctr" rotWithShape="0">
              <a:prstClr val="black">
                <a:alpha val="25000"/>
              </a:prstClr>
            </a:outerShdw>
          </a:effectLst>
        </c:spPr>
      </c:pivotFmt>
      <c:pivotFmt>
        <c:idx val="117"/>
        <c:spPr>
          <a:solidFill>
            <a:schemeClr val="accent1"/>
          </a:solidFill>
          <a:ln>
            <a:noFill/>
          </a:ln>
          <a:effectLst>
            <a:outerShdw blurRad="317500" algn="ctr" rotWithShape="0">
              <a:prstClr val="black">
                <a:alpha val="25000"/>
              </a:prstClr>
            </a:outerShdw>
          </a:effectLst>
        </c:spPr>
      </c:pivotFmt>
      <c:pivotFmt>
        <c:idx val="118"/>
        <c:spPr>
          <a:solidFill>
            <a:schemeClr val="accent1"/>
          </a:solidFill>
          <a:ln>
            <a:noFill/>
          </a:ln>
          <a:effectLst>
            <a:outerShdw blurRad="317500" algn="ctr" rotWithShape="0">
              <a:prstClr val="black">
                <a:alpha val="25000"/>
              </a:prstClr>
            </a:outerShdw>
          </a:effectLst>
        </c:spPr>
      </c:pivotFmt>
      <c:pivotFmt>
        <c:idx val="119"/>
        <c:spPr>
          <a:solidFill>
            <a:schemeClr val="accent1"/>
          </a:solidFill>
          <a:ln>
            <a:noFill/>
          </a:ln>
          <a:effectLst>
            <a:outerShdw blurRad="317500" algn="ctr" rotWithShape="0">
              <a:prstClr val="black">
                <a:alpha val="25000"/>
              </a:prstClr>
            </a:outerShdw>
          </a:effectLst>
        </c:spPr>
      </c:pivotFmt>
      <c:pivotFmt>
        <c:idx val="120"/>
        <c:spPr>
          <a:solidFill>
            <a:schemeClr val="accent1"/>
          </a:solidFill>
          <a:ln>
            <a:noFill/>
          </a:ln>
          <a:effectLst>
            <a:outerShdw blurRad="317500" algn="ctr" rotWithShape="0">
              <a:prstClr val="black">
                <a:alpha val="25000"/>
              </a:prstClr>
            </a:outerShdw>
          </a:effectLst>
        </c:spPr>
      </c:pivotFmt>
      <c:pivotFmt>
        <c:idx val="121"/>
        <c:spPr>
          <a:solidFill>
            <a:schemeClr val="accent1"/>
          </a:solidFill>
          <a:ln>
            <a:noFill/>
          </a:ln>
          <a:effectLst>
            <a:outerShdw blurRad="317500" algn="ctr" rotWithShape="0">
              <a:prstClr val="black">
                <a:alpha val="25000"/>
              </a:prstClr>
            </a:outerShdw>
          </a:effectLst>
        </c:spPr>
      </c:pivotFmt>
      <c:pivotFmt>
        <c:idx val="122"/>
        <c:spPr>
          <a:solidFill>
            <a:schemeClr val="accent1"/>
          </a:solidFill>
          <a:ln>
            <a:noFill/>
          </a:ln>
          <a:effectLst>
            <a:outerShdw blurRad="317500" algn="ctr" rotWithShape="0">
              <a:prstClr val="black">
                <a:alpha val="25000"/>
              </a:prstClr>
            </a:outerShdw>
          </a:effectLst>
        </c:spPr>
      </c:pivotFmt>
      <c:pivotFmt>
        <c:idx val="123"/>
        <c:spPr>
          <a:solidFill>
            <a:schemeClr val="accent1"/>
          </a:solidFill>
          <a:ln>
            <a:noFill/>
          </a:ln>
          <a:effectLst>
            <a:outerShdw blurRad="317500" algn="ctr" rotWithShape="0">
              <a:prstClr val="black">
                <a:alpha val="25000"/>
              </a:prstClr>
            </a:outerShdw>
          </a:effectLst>
        </c:spPr>
      </c:pivotFmt>
      <c:pivotFmt>
        <c:idx val="124"/>
        <c:spPr>
          <a:solidFill>
            <a:schemeClr val="accent1"/>
          </a:solidFill>
          <a:ln>
            <a:noFill/>
          </a:ln>
          <a:effectLst>
            <a:outerShdw blurRad="317500" algn="ctr" rotWithShape="0">
              <a:prstClr val="black">
                <a:alpha val="25000"/>
              </a:prstClr>
            </a:outerShdw>
          </a:effectLst>
        </c:spPr>
      </c:pivotFmt>
      <c:pivotFmt>
        <c:idx val="125"/>
        <c:spPr>
          <a:solidFill>
            <a:schemeClr val="accent1"/>
          </a:solidFill>
          <a:ln>
            <a:noFill/>
          </a:ln>
          <a:effectLst>
            <a:outerShdw blurRad="317500" algn="ctr" rotWithShape="0">
              <a:prstClr val="black">
                <a:alpha val="25000"/>
              </a:prstClr>
            </a:outerShdw>
          </a:effectLst>
        </c:spPr>
      </c:pivotFmt>
      <c:pivotFmt>
        <c:idx val="126"/>
        <c:spPr>
          <a:solidFill>
            <a:schemeClr val="accent1"/>
          </a:solidFill>
          <a:ln>
            <a:noFill/>
          </a:ln>
          <a:effectLst>
            <a:outerShdw blurRad="317500" algn="ctr" rotWithShape="0">
              <a:prstClr val="black">
                <a:alpha val="25000"/>
              </a:prstClr>
            </a:outerShdw>
          </a:effectLst>
        </c:spPr>
      </c:pivotFmt>
      <c:pivotFmt>
        <c:idx val="127"/>
        <c:spPr>
          <a:solidFill>
            <a:schemeClr val="accent1"/>
          </a:solidFill>
          <a:ln>
            <a:noFill/>
          </a:ln>
          <a:effectLst>
            <a:outerShdw blurRad="317500" algn="ctr" rotWithShape="0">
              <a:prstClr val="black">
                <a:alpha val="25000"/>
              </a:prstClr>
            </a:outerShdw>
          </a:effectLst>
        </c:spPr>
      </c:pivotFmt>
      <c:pivotFmt>
        <c:idx val="128"/>
        <c:spPr>
          <a:solidFill>
            <a:schemeClr val="accent1"/>
          </a:solidFill>
          <a:ln>
            <a:noFill/>
          </a:ln>
          <a:effectLst>
            <a:outerShdw blurRad="317500" algn="ctr" rotWithShape="0">
              <a:prstClr val="black">
                <a:alpha val="25000"/>
              </a:prstClr>
            </a:outerShdw>
          </a:effectLst>
        </c:spPr>
      </c:pivotFmt>
      <c:pivotFmt>
        <c:idx val="129"/>
        <c:spPr>
          <a:solidFill>
            <a:schemeClr val="accent1"/>
          </a:solidFill>
          <a:ln>
            <a:noFill/>
          </a:ln>
          <a:effectLst>
            <a:outerShdw blurRad="317500" algn="ctr" rotWithShape="0">
              <a:prstClr val="black">
                <a:alpha val="25000"/>
              </a:prstClr>
            </a:outerShdw>
          </a:effectLst>
        </c:spPr>
      </c:pivotFmt>
      <c:pivotFmt>
        <c:idx val="130"/>
        <c:spPr>
          <a:solidFill>
            <a:schemeClr val="accent1"/>
          </a:solidFill>
          <a:ln>
            <a:noFill/>
          </a:ln>
          <a:effectLst>
            <a:outerShdw blurRad="317500" algn="ctr" rotWithShape="0">
              <a:prstClr val="black">
                <a:alpha val="25000"/>
              </a:prstClr>
            </a:outerShdw>
          </a:effectLst>
        </c:spPr>
      </c:pivotFmt>
      <c:pivotFmt>
        <c:idx val="131"/>
        <c:spPr>
          <a:solidFill>
            <a:schemeClr val="accent1"/>
          </a:solidFill>
          <a:ln>
            <a:noFill/>
          </a:ln>
          <a:effectLst>
            <a:outerShdw blurRad="317500" algn="ctr" rotWithShape="0">
              <a:prstClr val="black">
                <a:alpha val="25000"/>
              </a:prstClr>
            </a:outerShdw>
          </a:effectLst>
        </c:spPr>
      </c:pivotFmt>
      <c:pivotFmt>
        <c:idx val="132"/>
        <c:spPr>
          <a:solidFill>
            <a:schemeClr val="accent1"/>
          </a:solidFill>
          <a:ln>
            <a:noFill/>
          </a:ln>
          <a:effectLst>
            <a:outerShdw blurRad="317500" algn="ctr" rotWithShape="0">
              <a:prstClr val="black">
                <a:alpha val="25000"/>
              </a:prstClr>
            </a:outerShdw>
          </a:effectLst>
        </c:spPr>
      </c:pivotFmt>
      <c:pivotFmt>
        <c:idx val="13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1.6401354312774861E-2"/>
          <c:y val="9.882606036247657E-2"/>
          <c:w val="0.6207429606872451"/>
          <c:h val="0.50917992448599225"/>
        </c:manualLayout>
      </c:layout>
      <c:pieChart>
        <c:varyColors val="1"/>
        <c:ser>
          <c:idx val="0"/>
          <c:order val="0"/>
          <c:tx>
            <c:strRef>
              <c:f>'BALANCE FEBRERO 2026'!$D$29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23F-48A4-BA03-8796CA88BC4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23F-48A4-BA03-8796CA88BC4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23F-48A4-BA03-8796CA88BC4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23F-48A4-BA03-8796CA88BC4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23F-48A4-BA03-8796CA88BC4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23F-48A4-BA03-8796CA88BC4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523F-48A4-BA03-8796CA88BC47}"/>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523F-48A4-BA03-8796CA88BC47}"/>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523F-48A4-BA03-8796CA88BC47}"/>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523F-48A4-BA03-8796CA88BC47}"/>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523F-48A4-BA03-8796CA88BC47}"/>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523F-48A4-BA03-8796CA88BC47}"/>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523F-48A4-BA03-8796CA88BC47}"/>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523F-48A4-BA03-8796CA88BC47}"/>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523F-48A4-BA03-8796CA88BC47}"/>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523F-48A4-BA03-8796CA88BC47}"/>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523F-48A4-BA03-8796CA88BC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'BALANCE FEBRERO 2026'!$C$30:$C$47</c:f>
              <c:strCache>
                <c:ptCount val="17"/>
                <c:pt idx="0">
                  <c:v>Nominas y prestaciones (Nominas, Examenes medicos, dotacion, seguridad social)</c:v>
                </c:pt>
                <c:pt idx="1">
                  <c:v>Servicios Integrales (Multiples servicios para el desarrollo de la operación en campo)</c:v>
                </c:pt>
                <c:pt idx="2">
                  <c:v>Arrendamientos Operativos</c:v>
                </c:pt>
                <c:pt idx="3">
                  <c:v>Equipo Petrolero</c:v>
                </c:pt>
                <c:pt idx="4">
                  <c:v>Servicio transporte agua de produccion</c:v>
                </c:pt>
                <c:pt idx="5">
                  <c:v>Combustible </c:v>
                </c:pt>
                <c:pt idx="6">
                  <c:v>Caja menor campo </c:v>
                </c:pt>
                <c:pt idx="7">
                  <c:v>Provision Recursos Humanos</c:v>
                </c:pt>
                <c:pt idx="8">
                  <c:v>Comunidades </c:v>
                </c:pt>
                <c:pt idx="9">
                  <c:v>Repuestos Generales</c:v>
                </c:pt>
                <c:pt idx="10">
                  <c:v>Honorarios Administrativos</c:v>
                </c:pt>
                <c:pt idx="11">
                  <c:v>Arrendamientos Administrativos</c:v>
                </c:pt>
                <c:pt idx="12">
                  <c:v>Insumos ferreteria </c:v>
                </c:pt>
                <c:pt idx="13">
                  <c:v>Repuestos de Equipo Petrolero</c:v>
                </c:pt>
                <c:pt idx="14">
                  <c:v>Provision equipo petrolero</c:v>
                </c:pt>
                <c:pt idx="15">
                  <c:v>Mantenimiento vias (Transportes de maquinaria, materiales de cantera, irrigacion via)</c:v>
                </c:pt>
                <c:pt idx="16">
                  <c:v>Servicios (Administración, Energia, Internet y Telefonia)</c:v>
                </c:pt>
              </c:strCache>
            </c:strRef>
          </c:cat>
          <c:val>
            <c:numRef>
              <c:f>'BALANCE FEBRERO 2026'!$D$30:$D$47</c:f>
              <c:numCache>
                <c:formatCode>_-[$$-409]* #,##0_ ;_-[$$-409]* \-#,##0\ ;_-[$$-409]* "-"??_ ;_-@_ </c:formatCode>
                <c:ptCount val="17"/>
                <c:pt idx="0">
                  <c:v>611655009</c:v>
                </c:pt>
                <c:pt idx="1">
                  <c:v>257412993</c:v>
                </c:pt>
                <c:pt idx="2">
                  <c:v>215331543</c:v>
                </c:pt>
                <c:pt idx="3">
                  <c:v>210000000</c:v>
                </c:pt>
                <c:pt idx="4">
                  <c:v>153600000</c:v>
                </c:pt>
                <c:pt idx="5">
                  <c:v>111868622</c:v>
                </c:pt>
                <c:pt idx="6">
                  <c:v>84000000</c:v>
                </c:pt>
                <c:pt idx="7">
                  <c:v>50105611</c:v>
                </c:pt>
                <c:pt idx="8">
                  <c:v>50000000</c:v>
                </c:pt>
                <c:pt idx="9">
                  <c:v>31419716</c:v>
                </c:pt>
                <c:pt idx="10">
                  <c:v>22627930</c:v>
                </c:pt>
                <c:pt idx="11">
                  <c:v>17044019</c:v>
                </c:pt>
                <c:pt idx="12">
                  <c:v>15691415</c:v>
                </c:pt>
                <c:pt idx="13">
                  <c:v>15265018</c:v>
                </c:pt>
                <c:pt idx="14">
                  <c:v>14402905.812256968</c:v>
                </c:pt>
                <c:pt idx="15">
                  <c:v>14119344</c:v>
                </c:pt>
                <c:pt idx="16">
                  <c:v>3382471</c:v>
                </c:pt>
              </c:numCache>
            </c:numRef>
          </c:val>
          <c:extLst>
            <c:ext xmlns:c16="http://schemas.microsoft.com/office/drawing/2014/chart" uri="{C3380CC4-5D6E-409C-BE32-E72D297353CC}">
              <c16:uniqueId val="{00000000-E897-4AEB-BE66-7E6296A5E510}"/>
            </c:ext>
          </c:extLst>
        </c:ser>
        <c:ser>
          <c:idx val="1"/>
          <c:order val="1"/>
          <c:tx>
            <c:strRef>
              <c:f>'BALANCE FEBRERO 2026'!$E$29</c:f>
              <c:strCache>
                <c:ptCount val="1"/>
                <c:pt idx="0">
                  <c:v>Porcentaje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523F-48A4-BA03-8796CA88BC4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523F-48A4-BA03-8796CA88BC4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523F-48A4-BA03-8796CA88BC4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523F-48A4-BA03-8796CA88BC4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523F-48A4-BA03-8796CA88BC4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523F-48A4-BA03-8796CA88BC4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523F-48A4-BA03-8796CA88BC47}"/>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523F-48A4-BA03-8796CA88BC47}"/>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523F-48A4-BA03-8796CA88BC47}"/>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523F-48A4-BA03-8796CA88BC47}"/>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523F-48A4-BA03-8796CA88BC47}"/>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523F-48A4-BA03-8796CA88BC47}"/>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523F-48A4-BA03-8796CA88BC47}"/>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523F-48A4-BA03-8796CA88BC47}"/>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523F-48A4-BA03-8796CA88BC47}"/>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523F-48A4-BA03-8796CA88BC47}"/>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3-523F-48A4-BA03-8796CA88BC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'BALANCE FEBRERO 2026'!$C$30:$C$47</c:f>
              <c:strCache>
                <c:ptCount val="17"/>
                <c:pt idx="0">
                  <c:v>Nominas y prestaciones (Nominas, Examenes medicos, dotacion, seguridad social)</c:v>
                </c:pt>
                <c:pt idx="1">
                  <c:v>Servicios Integrales (Multiples servicios para el desarrollo de la operación en campo)</c:v>
                </c:pt>
                <c:pt idx="2">
                  <c:v>Arrendamientos Operativos</c:v>
                </c:pt>
                <c:pt idx="3">
                  <c:v>Equipo Petrolero</c:v>
                </c:pt>
                <c:pt idx="4">
                  <c:v>Servicio transporte agua de produccion</c:v>
                </c:pt>
                <c:pt idx="5">
                  <c:v>Combustible </c:v>
                </c:pt>
                <c:pt idx="6">
                  <c:v>Caja menor campo </c:v>
                </c:pt>
                <c:pt idx="7">
                  <c:v>Provision Recursos Humanos</c:v>
                </c:pt>
                <c:pt idx="8">
                  <c:v>Comunidades </c:v>
                </c:pt>
                <c:pt idx="9">
                  <c:v>Repuestos Generales</c:v>
                </c:pt>
                <c:pt idx="10">
                  <c:v>Honorarios Administrativos</c:v>
                </c:pt>
                <c:pt idx="11">
                  <c:v>Arrendamientos Administrativos</c:v>
                </c:pt>
                <c:pt idx="12">
                  <c:v>Insumos ferreteria </c:v>
                </c:pt>
                <c:pt idx="13">
                  <c:v>Repuestos de Equipo Petrolero</c:v>
                </c:pt>
                <c:pt idx="14">
                  <c:v>Provision equipo petrolero</c:v>
                </c:pt>
                <c:pt idx="15">
                  <c:v>Mantenimiento vias (Transportes de maquinaria, materiales de cantera, irrigacion via)</c:v>
                </c:pt>
                <c:pt idx="16">
                  <c:v>Servicios (Administración, Energia, Internet y Telefonia)</c:v>
                </c:pt>
              </c:strCache>
            </c:strRef>
          </c:cat>
          <c:val>
            <c:numRef>
              <c:f>'BALANCE FEBRERO 2026'!$E$30:$E$47</c:f>
              <c:numCache>
                <c:formatCode>0.00%</c:formatCode>
                <c:ptCount val="17"/>
                <c:pt idx="0">
                  <c:v>0.32570762352387583</c:v>
                </c:pt>
                <c:pt idx="1">
                  <c:v>0.13707297901683346</c:v>
                </c:pt>
                <c:pt idx="2">
                  <c:v>0.11466451530401721</c:v>
                </c:pt>
                <c:pt idx="3">
                  <c:v>0.11182545705272549</c:v>
                </c:pt>
                <c:pt idx="4">
                  <c:v>8.1792334301422076E-2</c:v>
                </c:pt>
                <c:pt idx="5">
                  <c:v>5.9570284690517061E-2</c:v>
                </c:pt>
                <c:pt idx="6">
                  <c:v>4.4730182821090196E-2</c:v>
                </c:pt>
                <c:pt idx="7">
                  <c:v>2.6681346909433669E-2</c:v>
                </c:pt>
                <c:pt idx="8">
                  <c:v>2.6625108822077498E-2</c:v>
                </c:pt>
                <c:pt idx="9">
                  <c:v>1.6731067153175391E-2</c:v>
                </c:pt>
                <c:pt idx="10">
                  <c:v>1.2049421973367043E-2</c:v>
                </c:pt>
                <c:pt idx="11">
                  <c:v>9.0759772128111305E-3</c:v>
                </c:pt>
                <c:pt idx="12">
                  <c:v>8.3557126389475836E-3</c:v>
                </c:pt>
                <c:pt idx="13">
                  <c:v>8.1286553084194361E-3</c:v>
                </c:pt>
                <c:pt idx="14">
                  <c:v>7.6695786921094859E-3</c:v>
                </c:pt>
                <c:pt idx="15">
                  <c:v>7.5185814099269404E-3</c:v>
                </c:pt>
                <c:pt idx="16">
                  <c:v>1.8011731692504261E-3</c:v>
                </c:pt>
              </c:numCache>
            </c:numRef>
          </c:val>
          <c:extLst>
            <c:ext xmlns:c16="http://schemas.microsoft.com/office/drawing/2014/chart" uri="{C3380CC4-5D6E-409C-BE32-E72D297353CC}">
              <c16:uniqueId val="{00000062-E897-4AEB-BE66-7E6296A5E51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666675276301479"/>
          <c:y val="2.4804457786345162E-3"/>
          <c:w val="0.33333324723698521"/>
          <c:h val="0.9958580857001995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[Balances OPENLAND 2026.xlsx]BALANCE MARZO 2026!TablaDinámica2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65000"/>
                    <a:lumOff val="35000"/>
                  </a:sysClr>
                </a:solidFill>
                <a:latin typeface="+mn-lt"/>
                <a:ea typeface="+mn-ea"/>
                <a:cs typeface="+mn-cs"/>
              </a:defRPr>
            </a:pPr>
            <a:r>
              <a:rPr lang="en-US" sz="2400" b="1" i="0" u="none" strike="noStrike" kern="1200" baseline="0">
                <a:solidFill>
                  <a:sysClr val="windowText" lastClr="000000">
                    <a:lumMod val="65000"/>
                    <a:lumOff val="35000"/>
                  </a:sysClr>
                </a:solidFill>
              </a:rPr>
              <a:t>Distribucion de Costos y Gastos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8.5815347460368993E-2"/>
          <c:y val="4.363413356905183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2.9440354164002404E-2"/>
          <c:y val="0.10334856118928032"/>
          <c:w val="0.603931894620651"/>
          <c:h val="0.57219000942616527"/>
        </c:manualLayout>
      </c:layout>
      <c:pieChart>
        <c:varyColors val="1"/>
        <c:ser>
          <c:idx val="0"/>
          <c:order val="0"/>
          <c:tx>
            <c:strRef>
              <c:f>'BALANCE MARZO 2026'!$D$28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120-4D1C-8CCE-16AB2BBB871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120-4D1C-8CCE-16AB2BBB871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120-4D1C-8CCE-16AB2BBB871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120-4D1C-8CCE-16AB2BBB871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120-4D1C-8CCE-16AB2BBB8710}"/>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6120-4D1C-8CCE-16AB2BBB8710}"/>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6120-4D1C-8CCE-16AB2BBB8710}"/>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6120-4D1C-8CCE-16AB2BBB8710}"/>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6120-4D1C-8CCE-16AB2BBB8710}"/>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6120-4D1C-8CCE-16AB2BBB8710}"/>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6120-4D1C-8CCE-16AB2BBB8710}"/>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6120-4D1C-8CCE-16AB2BBB8710}"/>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6120-4D1C-8CCE-16AB2BBB8710}"/>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6120-4D1C-8CCE-16AB2BBB8710}"/>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6120-4D1C-8CCE-16AB2BBB8710}"/>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6120-4D1C-8CCE-16AB2BBB8710}"/>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6120-4D1C-8CCE-16AB2BBB8710}"/>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6120-4D1C-8CCE-16AB2BBB8710}"/>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6120-4D1C-8CCE-16AB2BBB8710}"/>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6120-4D1C-8CCE-16AB2BBB87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'BALANCE MARZO 2026'!$C$29:$C$49</c:f>
              <c:strCache>
                <c:ptCount val="20"/>
                <c:pt idx="0">
                  <c:v>Nominas y prestaciones (Nominas, examenes medicos, dotacion, seguridad social)</c:v>
                </c:pt>
                <c:pt idx="1">
                  <c:v>Equipo Petrolero</c:v>
                </c:pt>
                <c:pt idx="2">
                  <c:v>Arrendamientos Operativos</c:v>
                </c:pt>
                <c:pt idx="3">
                  <c:v>Servicios Integrales (Multiples servicios para el desarrollo de la operación en campo)</c:v>
                </c:pt>
                <c:pt idx="4">
                  <c:v>Servicio transporte agua de produccion </c:v>
                </c:pt>
                <c:pt idx="5">
                  <c:v>Quimicos (Quimicos Generales, Quimicos para producción, productos de aseo)</c:v>
                </c:pt>
                <c:pt idx="6">
                  <c:v>Mantenimiento vias (Transportes de maquinaria, materiales de cantera, irrigacion via)</c:v>
                </c:pt>
                <c:pt idx="7">
                  <c:v>Combustible</c:v>
                </c:pt>
                <c:pt idx="8">
                  <c:v>Caja menor campo </c:v>
                </c:pt>
                <c:pt idx="9">
                  <c:v>Provisiones Recursos Humanos</c:v>
                </c:pt>
                <c:pt idx="10">
                  <c:v>Comunidades </c:v>
                </c:pt>
                <c:pt idx="11">
                  <c:v>Provision equipo petrolero</c:v>
                </c:pt>
                <c:pt idx="12">
                  <c:v>Insumos Ferreteria </c:v>
                </c:pt>
                <c:pt idx="13">
                  <c:v>Repuestos Generales</c:v>
                </c:pt>
                <c:pt idx="14">
                  <c:v>Honorarios Administrativos </c:v>
                </c:pt>
                <c:pt idx="15">
                  <c:v>Arrendamientos Administrativos</c:v>
                </c:pt>
                <c:pt idx="16">
                  <c:v>Servicios (Administracion, energia, internet, telefono y television)</c:v>
                </c:pt>
                <c:pt idx="17">
                  <c:v>Repuestos de Equipo Petrolero</c:v>
                </c:pt>
                <c:pt idx="18">
                  <c:v>Honorarios Operativos </c:v>
                </c:pt>
                <c:pt idx="19">
                  <c:v>Insumos campo</c:v>
                </c:pt>
              </c:strCache>
            </c:strRef>
          </c:cat>
          <c:val>
            <c:numRef>
              <c:f>'BALANCE MARZO 2026'!$D$29:$D$49</c:f>
              <c:numCache>
                <c:formatCode>_-[$$-409]* #,##0_ ;_-[$$-409]* \-#,##0\ ;_-[$$-409]* "-"??_ ;_-@_ </c:formatCode>
                <c:ptCount val="20"/>
                <c:pt idx="0">
                  <c:v>618053327</c:v>
                </c:pt>
                <c:pt idx="1">
                  <c:v>420487500</c:v>
                </c:pt>
                <c:pt idx="2">
                  <c:v>392880070</c:v>
                </c:pt>
                <c:pt idx="3">
                  <c:v>286222557</c:v>
                </c:pt>
                <c:pt idx="4">
                  <c:v>272700000</c:v>
                </c:pt>
                <c:pt idx="5">
                  <c:v>188697589</c:v>
                </c:pt>
                <c:pt idx="6">
                  <c:v>179490224</c:v>
                </c:pt>
                <c:pt idx="7">
                  <c:v>111452000</c:v>
                </c:pt>
                <c:pt idx="8">
                  <c:v>104320000</c:v>
                </c:pt>
                <c:pt idx="9">
                  <c:v>51003916</c:v>
                </c:pt>
                <c:pt idx="10">
                  <c:v>50000000</c:v>
                </c:pt>
                <c:pt idx="11">
                  <c:v>26647657.501158491</c:v>
                </c:pt>
                <c:pt idx="12">
                  <c:v>20871815</c:v>
                </c:pt>
                <c:pt idx="13">
                  <c:v>20735811</c:v>
                </c:pt>
                <c:pt idx="14">
                  <c:v>17407154</c:v>
                </c:pt>
                <c:pt idx="15">
                  <c:v>13427751</c:v>
                </c:pt>
                <c:pt idx="16">
                  <c:v>5574303</c:v>
                </c:pt>
                <c:pt idx="17">
                  <c:v>4840710</c:v>
                </c:pt>
                <c:pt idx="18">
                  <c:v>4000000</c:v>
                </c:pt>
                <c:pt idx="19">
                  <c:v>595000</c:v>
                </c:pt>
              </c:numCache>
            </c:numRef>
          </c:val>
          <c:extLst>
            <c:ext xmlns:c16="http://schemas.microsoft.com/office/drawing/2014/chart" uri="{C3380CC4-5D6E-409C-BE32-E72D297353CC}">
              <c16:uniqueId val="{00000000-E1AE-4461-901E-21B8CF91111E}"/>
            </c:ext>
          </c:extLst>
        </c:ser>
        <c:ser>
          <c:idx val="1"/>
          <c:order val="1"/>
          <c:tx>
            <c:strRef>
              <c:f>'BALANCE MARZO 2026'!$E$28</c:f>
              <c:strCache>
                <c:ptCount val="1"/>
                <c:pt idx="0">
                  <c:v>Porcentaje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6120-4D1C-8CCE-16AB2BBB871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6120-4D1C-8CCE-16AB2BBB871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6120-4D1C-8CCE-16AB2BBB871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6120-4D1C-8CCE-16AB2BBB871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6120-4D1C-8CCE-16AB2BBB8710}"/>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6120-4D1C-8CCE-16AB2BBB8710}"/>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6120-4D1C-8CCE-16AB2BBB8710}"/>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6120-4D1C-8CCE-16AB2BBB8710}"/>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6120-4D1C-8CCE-16AB2BBB8710}"/>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6120-4D1C-8CCE-16AB2BBB8710}"/>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6120-4D1C-8CCE-16AB2BBB8710}"/>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6120-4D1C-8CCE-16AB2BBB8710}"/>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6120-4D1C-8CCE-16AB2BBB8710}"/>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3-6120-4D1C-8CCE-16AB2BBB8710}"/>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5-6120-4D1C-8CCE-16AB2BBB8710}"/>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7-6120-4D1C-8CCE-16AB2BBB8710}"/>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9-6120-4D1C-8CCE-16AB2BBB8710}"/>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B-6120-4D1C-8CCE-16AB2BBB8710}"/>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D-6120-4D1C-8CCE-16AB2BBB8710}"/>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F-6120-4D1C-8CCE-16AB2BBB87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'BALANCE MARZO 2026'!$C$29:$C$49</c:f>
              <c:strCache>
                <c:ptCount val="20"/>
                <c:pt idx="0">
                  <c:v>Nominas y prestaciones (Nominas, examenes medicos, dotacion, seguridad social)</c:v>
                </c:pt>
                <c:pt idx="1">
                  <c:v>Equipo Petrolero</c:v>
                </c:pt>
                <c:pt idx="2">
                  <c:v>Arrendamientos Operativos</c:v>
                </c:pt>
                <c:pt idx="3">
                  <c:v>Servicios Integrales (Multiples servicios para el desarrollo de la operación en campo)</c:v>
                </c:pt>
                <c:pt idx="4">
                  <c:v>Servicio transporte agua de produccion </c:v>
                </c:pt>
                <c:pt idx="5">
                  <c:v>Quimicos (Quimicos Generales, Quimicos para producción, productos de aseo)</c:v>
                </c:pt>
                <c:pt idx="6">
                  <c:v>Mantenimiento vias (Transportes de maquinaria, materiales de cantera, irrigacion via)</c:v>
                </c:pt>
                <c:pt idx="7">
                  <c:v>Combustible</c:v>
                </c:pt>
                <c:pt idx="8">
                  <c:v>Caja menor campo </c:v>
                </c:pt>
                <c:pt idx="9">
                  <c:v>Provisiones Recursos Humanos</c:v>
                </c:pt>
                <c:pt idx="10">
                  <c:v>Comunidades </c:v>
                </c:pt>
                <c:pt idx="11">
                  <c:v>Provision equipo petrolero</c:v>
                </c:pt>
                <c:pt idx="12">
                  <c:v>Insumos Ferreteria </c:v>
                </c:pt>
                <c:pt idx="13">
                  <c:v>Repuestos Generales</c:v>
                </c:pt>
                <c:pt idx="14">
                  <c:v>Honorarios Administrativos </c:v>
                </c:pt>
                <c:pt idx="15">
                  <c:v>Arrendamientos Administrativos</c:v>
                </c:pt>
                <c:pt idx="16">
                  <c:v>Servicios (Administracion, energia, internet, telefono y television)</c:v>
                </c:pt>
                <c:pt idx="17">
                  <c:v>Repuestos de Equipo Petrolero</c:v>
                </c:pt>
                <c:pt idx="18">
                  <c:v>Honorarios Operativos </c:v>
                </c:pt>
                <c:pt idx="19">
                  <c:v>Insumos campo</c:v>
                </c:pt>
              </c:strCache>
            </c:strRef>
          </c:cat>
          <c:val>
            <c:numRef>
              <c:f>'BALANCE MARZO 2026'!$E$29:$E$49</c:f>
              <c:numCache>
                <c:formatCode>0.00%</c:formatCode>
                <c:ptCount val="20"/>
                <c:pt idx="0">
                  <c:v>0.22157155331060724</c:v>
                </c:pt>
                <c:pt idx="1">
                  <c:v>0.15074438475224641</c:v>
                </c:pt>
                <c:pt idx="2">
                  <c:v>0.14084714630891407</c:v>
                </c:pt>
                <c:pt idx="3">
                  <c:v>0.10261052530022838</c:v>
                </c:pt>
                <c:pt idx="4">
                  <c:v>9.7762700964802982E-2</c:v>
                </c:pt>
                <c:pt idx="5">
                  <c:v>6.7647913334016485E-2</c:v>
                </c:pt>
                <c:pt idx="6">
                  <c:v>6.4347081389869831E-2</c:v>
                </c:pt>
                <c:pt idx="7">
                  <c:v>3.995544021976246E-2</c:v>
                </c:pt>
                <c:pt idx="8">
                  <c:v>3.7398624732850196E-2</c:v>
                </c:pt>
                <c:pt idx="9">
                  <c:v>1.8284857308184563E-2</c:v>
                </c:pt>
                <c:pt idx="10">
                  <c:v>1.792495433898111E-2</c:v>
                </c:pt>
                <c:pt idx="11">
                  <c:v>9.553160878981469E-3</c:v>
                </c:pt>
                <c:pt idx="12">
                  <c:v>7.4825266169332213E-3</c:v>
                </c:pt>
                <c:pt idx="13">
                  <c:v>7.4337693071348451E-3</c:v>
                </c:pt>
                <c:pt idx="14">
                  <c:v>6.2404488124322482E-3</c:v>
                </c:pt>
                <c:pt idx="15">
                  <c:v>4.8138364710041594E-3</c:v>
                </c:pt>
                <c:pt idx="16">
                  <c:v>1.9983825349329087E-3</c:v>
                </c:pt>
                <c:pt idx="17">
                  <c:v>1.7353901143649852E-3</c:v>
                </c:pt>
                <c:pt idx="18">
                  <c:v>1.433996347118489E-3</c:v>
                </c:pt>
                <c:pt idx="19">
                  <c:v>2.1330695663387524E-4</c:v>
                </c:pt>
              </c:numCache>
            </c:numRef>
          </c:val>
          <c:extLst>
            <c:ext xmlns:c16="http://schemas.microsoft.com/office/drawing/2014/chart" uri="{C3380CC4-5D6E-409C-BE32-E72D297353CC}">
              <c16:uniqueId val="{00000002-E1AE-4461-901E-21B8CF91111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215591290404152"/>
          <c:y val="1.5349907509193137E-3"/>
          <c:w val="0.33634048935358085"/>
          <c:h val="0.9968799936119641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[Balances OPENLAND 2026.xlsx]BALANCE ABRIL 2026!TablaDinámica2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65000"/>
                    <a:lumOff val="35000"/>
                  </a:sysClr>
                </a:solidFill>
                <a:latin typeface="+mn-lt"/>
                <a:ea typeface="+mn-ea"/>
                <a:cs typeface="+mn-cs"/>
              </a:defRPr>
            </a:pPr>
            <a:r>
              <a:rPr lang="en-US" sz="2800" b="1" i="0" u="none" strike="noStrike" kern="1200" baseline="0">
                <a:solidFill>
                  <a:sysClr val="windowText" lastClr="000000">
                    <a:lumMod val="65000"/>
                    <a:lumOff val="35000"/>
                  </a:sysClr>
                </a:solidFill>
              </a:rPr>
              <a:t>Distribucion de Costos y Gastos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5.4173343092532258E-2"/>
          <c:y val="4.908020404636959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5.99138702732615E-3"/>
          <c:y val="0.11527557988825329"/>
          <c:w val="0.64719469814141972"/>
          <c:h val="0.50758689675101254"/>
        </c:manualLayout>
      </c:layout>
      <c:pieChart>
        <c:varyColors val="1"/>
        <c:ser>
          <c:idx val="0"/>
          <c:order val="0"/>
          <c:tx>
            <c:strRef>
              <c:f>'BALANCE ABRIL 2026'!$D$28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A6B-41E6-A38B-E240E2A8CA8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A6B-41E6-A38B-E240E2A8CA8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A6B-41E6-A38B-E240E2A8CA8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A6B-41E6-A38B-E240E2A8CA8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A6B-41E6-A38B-E240E2A8CA89}"/>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A6B-41E6-A38B-E240E2A8CA89}"/>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A6B-41E6-A38B-E240E2A8CA89}"/>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A6B-41E6-A38B-E240E2A8CA89}"/>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A6B-41E6-A38B-E240E2A8CA89}"/>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A6B-41E6-A38B-E240E2A8CA89}"/>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8A6B-41E6-A38B-E240E2A8CA89}"/>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8A6B-41E6-A38B-E240E2A8CA89}"/>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8A6B-41E6-A38B-E240E2A8CA89}"/>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8A6B-41E6-A38B-E240E2A8CA89}"/>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8A6B-41E6-A38B-E240E2A8CA89}"/>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8A6B-41E6-A38B-E240E2A8CA89}"/>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8A6B-41E6-A38B-E240E2A8CA89}"/>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8A6B-41E6-A38B-E240E2A8CA89}"/>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8A6B-41E6-A38B-E240E2A8CA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'BALANCE ABRIL 2026'!$C$29:$C$48</c:f>
              <c:strCache>
                <c:ptCount val="19"/>
                <c:pt idx="0">
                  <c:v>Nominas y prestaciones (Nominas, examenes medicos, dotacion, seguridad social)</c:v>
                </c:pt>
                <c:pt idx="1">
                  <c:v>Arrendamientos Operativos</c:v>
                </c:pt>
                <c:pt idx="2">
                  <c:v>Servicio transporte agua de produccion </c:v>
                </c:pt>
                <c:pt idx="3">
                  <c:v>Combustible </c:v>
                </c:pt>
                <c:pt idx="4">
                  <c:v>Comunidades</c:v>
                </c:pt>
                <c:pt idx="5">
                  <c:v>Caja menor campo </c:v>
                </c:pt>
                <c:pt idx="6">
                  <c:v>Servicios Integrales (Multiples servicios para el desarrollo de la operación en campo)</c:v>
                </c:pt>
                <c:pt idx="7">
                  <c:v>Equipo petrolero</c:v>
                </c:pt>
                <c:pt idx="8">
                  <c:v>Quimicos (Quimicos Generales, Quimicos para producción, productos de aseo)</c:v>
                </c:pt>
                <c:pt idx="9">
                  <c:v>Repuestos Generales</c:v>
                </c:pt>
                <c:pt idx="10">
                  <c:v>Provisiones Recursos Humanos</c:v>
                </c:pt>
                <c:pt idx="11">
                  <c:v>Mantenimiento vias (Transportes de maquinaria, materiales de cantera, irrigacion via)</c:v>
                </c:pt>
                <c:pt idx="12">
                  <c:v>Honorarios Administrativos </c:v>
                </c:pt>
                <c:pt idx="13">
                  <c:v>Provision equipo petrolero</c:v>
                </c:pt>
                <c:pt idx="14">
                  <c:v>Insumos Ferreteria </c:v>
                </c:pt>
                <c:pt idx="15">
                  <c:v>Servicios (Administracion, energia, internet, telefono y television)</c:v>
                </c:pt>
                <c:pt idx="16">
                  <c:v>Repuestos de Equipo Petrolero</c:v>
                </c:pt>
                <c:pt idx="17">
                  <c:v>Honorarios Operativos</c:v>
                </c:pt>
                <c:pt idx="18">
                  <c:v>Insumos campo</c:v>
                </c:pt>
              </c:strCache>
            </c:strRef>
          </c:cat>
          <c:val>
            <c:numRef>
              <c:f>'BALANCE ABRIL 2026'!$D$29:$D$48</c:f>
              <c:numCache>
                <c:formatCode>_-[$$-409]* #,##0_ ;_-[$$-409]* \-#,##0\ ;_-[$$-409]* "-"??_ ;_-@_ </c:formatCode>
                <c:ptCount val="19"/>
                <c:pt idx="0">
                  <c:v>638865940</c:v>
                </c:pt>
                <c:pt idx="1">
                  <c:v>441351268</c:v>
                </c:pt>
                <c:pt idx="2">
                  <c:v>327375000</c:v>
                </c:pt>
                <c:pt idx="3">
                  <c:v>133741106</c:v>
                </c:pt>
                <c:pt idx="4">
                  <c:v>129992000</c:v>
                </c:pt>
                <c:pt idx="5">
                  <c:v>94000000</c:v>
                </c:pt>
                <c:pt idx="6">
                  <c:v>71693853</c:v>
                </c:pt>
                <c:pt idx="7">
                  <c:v>64299203</c:v>
                </c:pt>
                <c:pt idx="8">
                  <c:v>55943873</c:v>
                </c:pt>
                <c:pt idx="9">
                  <c:v>55360548</c:v>
                </c:pt>
                <c:pt idx="10">
                  <c:v>50699940</c:v>
                </c:pt>
                <c:pt idx="11">
                  <c:v>44009700</c:v>
                </c:pt>
                <c:pt idx="12">
                  <c:v>41207154</c:v>
                </c:pt>
                <c:pt idx="13">
                  <c:v>28887740.276614934</c:v>
                </c:pt>
                <c:pt idx="14">
                  <c:v>16113299</c:v>
                </c:pt>
                <c:pt idx="15">
                  <c:v>9538570</c:v>
                </c:pt>
                <c:pt idx="16">
                  <c:v>5426294</c:v>
                </c:pt>
                <c:pt idx="17">
                  <c:v>4000000</c:v>
                </c:pt>
                <c:pt idx="18">
                  <c:v>3047923</c:v>
                </c:pt>
              </c:numCache>
            </c:numRef>
          </c:val>
          <c:extLst>
            <c:ext xmlns:c16="http://schemas.microsoft.com/office/drawing/2014/chart" uri="{C3380CC4-5D6E-409C-BE32-E72D297353CC}">
              <c16:uniqueId val="{00000000-9743-4096-8E04-3D7885F1B551}"/>
            </c:ext>
          </c:extLst>
        </c:ser>
        <c:ser>
          <c:idx val="1"/>
          <c:order val="1"/>
          <c:tx>
            <c:strRef>
              <c:f>'BALANCE ABRIL 2026'!$E$28</c:f>
              <c:strCache>
                <c:ptCount val="1"/>
                <c:pt idx="0">
                  <c:v>Porcentaje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8A6B-41E6-A38B-E240E2A8CA8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8A6B-41E6-A38B-E240E2A8CA8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8A6B-41E6-A38B-E240E2A8CA8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8A6B-41E6-A38B-E240E2A8CA8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8A6B-41E6-A38B-E240E2A8CA89}"/>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8A6B-41E6-A38B-E240E2A8CA89}"/>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8A6B-41E6-A38B-E240E2A8CA89}"/>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8A6B-41E6-A38B-E240E2A8CA89}"/>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8A6B-41E6-A38B-E240E2A8CA89}"/>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8A6B-41E6-A38B-E240E2A8CA89}"/>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8A6B-41E6-A38B-E240E2A8CA89}"/>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8A6B-41E6-A38B-E240E2A8CA89}"/>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8A6B-41E6-A38B-E240E2A8CA89}"/>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8A6B-41E6-A38B-E240E2A8CA89}"/>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3-8A6B-41E6-A38B-E240E2A8CA89}"/>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5-8A6B-41E6-A38B-E240E2A8CA89}"/>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7-8A6B-41E6-A38B-E240E2A8CA89}"/>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9-8A6B-41E6-A38B-E240E2A8CA89}"/>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B-8A6B-41E6-A38B-E240E2A8CA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'BALANCE ABRIL 2026'!$C$29:$C$48</c:f>
              <c:strCache>
                <c:ptCount val="19"/>
                <c:pt idx="0">
                  <c:v>Nominas y prestaciones (Nominas, examenes medicos, dotacion, seguridad social)</c:v>
                </c:pt>
                <c:pt idx="1">
                  <c:v>Arrendamientos Operativos</c:v>
                </c:pt>
                <c:pt idx="2">
                  <c:v>Servicio transporte agua de produccion </c:v>
                </c:pt>
                <c:pt idx="3">
                  <c:v>Combustible </c:v>
                </c:pt>
                <c:pt idx="4">
                  <c:v>Comunidades</c:v>
                </c:pt>
                <c:pt idx="5">
                  <c:v>Caja menor campo </c:v>
                </c:pt>
                <c:pt idx="6">
                  <c:v>Servicios Integrales (Multiples servicios para el desarrollo de la operación en campo)</c:v>
                </c:pt>
                <c:pt idx="7">
                  <c:v>Equipo petrolero</c:v>
                </c:pt>
                <c:pt idx="8">
                  <c:v>Quimicos (Quimicos Generales, Quimicos para producción, productos de aseo)</c:v>
                </c:pt>
                <c:pt idx="9">
                  <c:v>Repuestos Generales</c:v>
                </c:pt>
                <c:pt idx="10">
                  <c:v>Provisiones Recursos Humanos</c:v>
                </c:pt>
                <c:pt idx="11">
                  <c:v>Mantenimiento vias (Transportes de maquinaria, materiales de cantera, irrigacion via)</c:v>
                </c:pt>
                <c:pt idx="12">
                  <c:v>Honorarios Administrativos </c:v>
                </c:pt>
                <c:pt idx="13">
                  <c:v>Provision equipo petrolero</c:v>
                </c:pt>
                <c:pt idx="14">
                  <c:v>Insumos Ferreteria </c:v>
                </c:pt>
                <c:pt idx="15">
                  <c:v>Servicios (Administracion, energia, internet, telefono y television)</c:v>
                </c:pt>
                <c:pt idx="16">
                  <c:v>Repuestos de Equipo Petrolero</c:v>
                </c:pt>
                <c:pt idx="17">
                  <c:v>Honorarios Operativos</c:v>
                </c:pt>
                <c:pt idx="18">
                  <c:v>Insumos campo</c:v>
                </c:pt>
              </c:strCache>
            </c:strRef>
          </c:cat>
          <c:val>
            <c:numRef>
              <c:f>'BALANCE ABRIL 2026'!$E$29:$E$48</c:f>
              <c:numCache>
                <c:formatCode>0.00%</c:formatCode>
                <c:ptCount val="19"/>
                <c:pt idx="0">
                  <c:v>0.28835501628998489</c:v>
                </c:pt>
                <c:pt idx="1">
                  <c:v>0.19920588046021909</c:v>
                </c:pt>
                <c:pt idx="2">
                  <c:v>0.14776217911684852</c:v>
                </c:pt>
                <c:pt idx="3">
                  <c:v>6.036464989708263E-2</c:v>
                </c:pt>
                <c:pt idx="4">
                  <c:v>5.8672474036677739E-2</c:v>
                </c:pt>
                <c:pt idx="5">
                  <c:v>4.2427322907930547E-2</c:v>
                </c:pt>
                <c:pt idx="6">
                  <c:v>3.2359343103667074E-2</c:v>
                </c:pt>
                <c:pt idx="7">
                  <c:v>2.9021734557484857E-2</c:v>
                </c:pt>
                <c:pt idx="8">
                  <c:v>2.5250518771183585E-2</c:v>
                </c:pt>
                <c:pt idx="9">
                  <c:v>2.4987232408042431E-2</c:v>
                </c:pt>
                <c:pt idx="10">
                  <c:v>2.2883646019071321E-2</c:v>
                </c:pt>
                <c:pt idx="11">
                  <c:v>1.9863976095544158E-2</c:v>
                </c:pt>
                <c:pt idx="12">
                  <c:v>1.8599034349732146E-2</c:v>
                </c:pt>
                <c:pt idx="13">
                  <c:v>1.3038611540386944E-2</c:v>
                </c:pt>
                <c:pt idx="14">
                  <c:v>7.2728099977131316E-3</c:v>
                </c:pt>
                <c:pt idx="15">
                  <c:v>4.3052764837223307E-3</c:v>
                </c:pt>
                <c:pt idx="16">
                  <c:v>2.4491822099081497E-3</c:v>
                </c:pt>
                <c:pt idx="17">
                  <c:v>1.8054179960821509E-3</c:v>
                </c:pt>
                <c:pt idx="18">
                  <c:v>1.3756937587181743E-3</c:v>
                </c:pt>
              </c:numCache>
            </c:numRef>
          </c:val>
          <c:extLst>
            <c:ext xmlns:c16="http://schemas.microsoft.com/office/drawing/2014/chart" uri="{C3380CC4-5D6E-409C-BE32-E72D297353CC}">
              <c16:uniqueId val="{00000002-9743-4096-8E04-3D7885F1B55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917747219607215"/>
          <c:y val="2.1600449924794802E-4"/>
          <c:w val="0.33333329401977019"/>
          <c:h val="0.9986778274139496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11207</xdr:colOff>
      <xdr:row>29</xdr:row>
      <xdr:rowOff>186018</xdr:rowOff>
    </xdr:from>
    <xdr:to>
      <xdr:col>12</xdr:col>
      <xdr:colOff>11206</xdr:colOff>
      <xdr:row>77</xdr:row>
      <xdr:rowOff>156882</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41</xdr:row>
      <xdr:rowOff>9524</xdr:rowOff>
    </xdr:from>
    <xdr:to>
      <xdr:col>3</xdr:col>
      <xdr:colOff>1657350</xdr:colOff>
      <xdr:row>41</xdr:row>
      <xdr:rowOff>4404679</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34242374"/>
          <a:ext cx="1657350" cy="4395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11207</xdr:colOff>
      <xdr:row>27</xdr:row>
      <xdr:rowOff>174809</xdr:rowOff>
    </xdr:from>
    <xdr:to>
      <xdr:col>12</xdr:col>
      <xdr:colOff>11205</xdr:colOff>
      <xdr:row>77</xdr:row>
      <xdr:rowOff>89647</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4</xdr:col>
      <xdr:colOff>0</xdr:colOff>
      <xdr:row>6</xdr:row>
      <xdr:rowOff>0</xdr:rowOff>
    </xdr:from>
    <xdr:ext cx="304800" cy="304800"/>
    <xdr:sp macro="" textlink="">
      <xdr:nvSpPr>
        <xdr:cNvPr id="2" name="Shape 3">
          <a:extLst>
            <a:ext uri="{FF2B5EF4-FFF2-40B4-BE49-F238E27FC236}">
              <a16:creationId xmlns:a16="http://schemas.microsoft.com/office/drawing/2014/main" id="{00000000-0008-0000-0300-000002000000}"/>
            </a:ext>
          </a:extLst>
        </xdr:cNvPr>
        <xdr:cNvSpPr/>
      </xdr:nvSpPr>
      <xdr:spPr>
        <a:xfrm>
          <a:off x="4333875" y="1628775"/>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editAs="oneCell">
    <xdr:from>
      <xdr:col>4</xdr:col>
      <xdr:colOff>22413</xdr:colOff>
      <xdr:row>6</xdr:row>
      <xdr:rowOff>11205</xdr:rowOff>
    </xdr:from>
    <xdr:to>
      <xdr:col>4</xdr:col>
      <xdr:colOff>1714500</xdr:colOff>
      <xdr:row>6</xdr:row>
      <xdr:rowOff>5177117</xdr:rowOff>
    </xdr:to>
    <xdr:pic>
      <xdr:nvPicPr>
        <xdr:cNvPr id="4" name="Imagen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39237" y="2644587"/>
          <a:ext cx="1692087" cy="5165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63</xdr:row>
      <xdr:rowOff>0</xdr:rowOff>
    </xdr:from>
    <xdr:to>
      <xdr:col>4</xdr:col>
      <xdr:colOff>1725704</xdr:colOff>
      <xdr:row>63</xdr:row>
      <xdr:rowOff>3845299</xdr:rowOff>
    </xdr:to>
    <xdr:pic>
      <xdr:nvPicPr>
        <xdr:cNvPr id="6" name="Imagen 5">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16823" y="63638206"/>
          <a:ext cx="1725705" cy="3845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20</xdr:row>
      <xdr:rowOff>0</xdr:rowOff>
    </xdr:from>
    <xdr:ext cx="304800" cy="304800"/>
    <xdr:sp macro="" textlink="">
      <xdr:nvSpPr>
        <xdr:cNvPr id="7" name="Shape 3">
          <a:extLst>
            <a:ext uri="{FF2B5EF4-FFF2-40B4-BE49-F238E27FC236}">
              <a16:creationId xmlns:a16="http://schemas.microsoft.com/office/drawing/2014/main" id="{00000000-0008-0000-0300-000007000000}"/>
            </a:ext>
          </a:extLst>
        </xdr:cNvPr>
        <xdr:cNvSpPr/>
      </xdr:nvSpPr>
      <xdr:spPr>
        <a:xfrm>
          <a:off x="4325471" y="717176"/>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21</xdr:row>
      <xdr:rowOff>0</xdr:rowOff>
    </xdr:from>
    <xdr:ext cx="304800" cy="304800"/>
    <xdr:sp macro="" textlink="">
      <xdr:nvSpPr>
        <xdr:cNvPr id="8" name="Shape 3">
          <a:extLst>
            <a:ext uri="{FF2B5EF4-FFF2-40B4-BE49-F238E27FC236}">
              <a16:creationId xmlns:a16="http://schemas.microsoft.com/office/drawing/2014/main" id="{00000000-0008-0000-0300-000008000000}"/>
            </a:ext>
          </a:extLst>
        </xdr:cNvPr>
        <xdr:cNvSpPr/>
      </xdr:nvSpPr>
      <xdr:spPr>
        <a:xfrm>
          <a:off x="4325471" y="717176"/>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40</xdr:row>
      <xdr:rowOff>0</xdr:rowOff>
    </xdr:from>
    <xdr:ext cx="304800" cy="304800"/>
    <xdr:sp macro="" textlink="">
      <xdr:nvSpPr>
        <xdr:cNvPr id="9" name="Shape 3">
          <a:extLst>
            <a:ext uri="{FF2B5EF4-FFF2-40B4-BE49-F238E27FC236}">
              <a16:creationId xmlns:a16="http://schemas.microsoft.com/office/drawing/2014/main" id="{00000000-0008-0000-0300-000009000000}"/>
            </a:ext>
          </a:extLst>
        </xdr:cNvPr>
        <xdr:cNvSpPr/>
      </xdr:nvSpPr>
      <xdr:spPr>
        <a:xfrm>
          <a:off x="4325471" y="717176"/>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twoCellAnchor>
    <xdr:from>
      <xdr:col>4</xdr:col>
      <xdr:colOff>1086152</xdr:colOff>
      <xdr:row>27</xdr:row>
      <xdr:rowOff>3174</xdr:rowOff>
    </xdr:from>
    <xdr:to>
      <xdr:col>11</xdr:col>
      <xdr:colOff>672798</xdr:colOff>
      <xdr:row>76</xdr:row>
      <xdr:rowOff>68035</xdr:rowOff>
    </xdr:to>
    <xdr:graphicFrame macro="">
      <xdr:nvGraphicFramePr>
        <xdr:cNvPr id="3" name="Gráfico 2">
          <a:extLst>
            <a:ext uri="{FF2B5EF4-FFF2-40B4-BE49-F238E27FC236}">
              <a16:creationId xmlns:a16="http://schemas.microsoft.com/office/drawing/2014/main" id="{70882B25-1458-50B9-233D-02E40C710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84</xdr:row>
      <xdr:rowOff>0</xdr:rowOff>
    </xdr:from>
    <xdr:to>
      <xdr:col>4</xdr:col>
      <xdr:colOff>2115495</xdr:colOff>
      <xdr:row>84</xdr:row>
      <xdr:rowOff>5169856</xdr:rowOff>
    </xdr:to>
    <xdr:pic>
      <xdr:nvPicPr>
        <xdr:cNvPr id="3" name="Imagen 2">
          <a:extLst>
            <a:ext uri="{FF2B5EF4-FFF2-40B4-BE49-F238E27FC236}">
              <a16:creationId xmlns:a16="http://schemas.microsoft.com/office/drawing/2014/main" id="{9CBA1996-F6D7-E81A-AAC7-B602BEAA1840}"/>
            </a:ext>
          </a:extLst>
        </xdr:cNvPr>
        <xdr:cNvPicPr>
          <a:picLocks noChangeAspect="1"/>
        </xdr:cNvPicPr>
      </xdr:nvPicPr>
      <xdr:blipFill>
        <a:blip xmlns:r="http://schemas.openxmlformats.org/officeDocument/2006/relationships" r:embed="rId1"/>
        <a:stretch>
          <a:fillRect/>
        </a:stretch>
      </xdr:blipFill>
      <xdr:spPr>
        <a:xfrm>
          <a:off x="3308350" y="60871100"/>
          <a:ext cx="2115495" cy="5169856"/>
        </a:xfrm>
        <a:prstGeom prst="rect">
          <a:avLst/>
        </a:prstGeom>
      </xdr:spPr>
    </xdr:pic>
    <xdr:clientData/>
  </xdr:twoCellAnchor>
  <xdr:oneCellAnchor>
    <xdr:from>
      <xdr:col>4</xdr:col>
      <xdr:colOff>0</xdr:colOff>
      <xdr:row>0</xdr:row>
      <xdr:rowOff>0</xdr:rowOff>
    </xdr:from>
    <xdr:ext cx="304800" cy="304800"/>
    <xdr:sp macro="" textlink="">
      <xdr:nvSpPr>
        <xdr:cNvPr id="4" name="Shape 3">
          <a:extLst>
            <a:ext uri="{FF2B5EF4-FFF2-40B4-BE49-F238E27FC236}">
              <a16:creationId xmlns:a16="http://schemas.microsoft.com/office/drawing/2014/main" id="{ECDA5CF2-5BAE-4E57-ACA6-D6AFE518DD5E}"/>
            </a:ext>
          </a:extLst>
        </xdr:cNvPr>
        <xdr:cNvSpPr/>
      </xdr:nvSpPr>
      <xdr:spPr>
        <a:xfrm>
          <a:off x="4838700" y="71755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0</xdr:row>
      <xdr:rowOff>0</xdr:rowOff>
    </xdr:from>
    <xdr:ext cx="304800" cy="304800"/>
    <xdr:sp macro="" textlink="">
      <xdr:nvSpPr>
        <xdr:cNvPr id="5" name="Shape 3">
          <a:extLst>
            <a:ext uri="{FF2B5EF4-FFF2-40B4-BE49-F238E27FC236}">
              <a16:creationId xmlns:a16="http://schemas.microsoft.com/office/drawing/2014/main" id="{0CEA4DD7-F0FE-4205-AB54-A9DB4EB73922}"/>
            </a:ext>
          </a:extLst>
        </xdr:cNvPr>
        <xdr:cNvSpPr/>
      </xdr:nvSpPr>
      <xdr:spPr>
        <a:xfrm>
          <a:off x="4838700" y="71755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0</xdr:row>
      <xdr:rowOff>0</xdr:rowOff>
    </xdr:from>
    <xdr:ext cx="304800" cy="304800"/>
    <xdr:sp macro="" textlink="">
      <xdr:nvSpPr>
        <xdr:cNvPr id="6" name="Shape 3">
          <a:extLst>
            <a:ext uri="{FF2B5EF4-FFF2-40B4-BE49-F238E27FC236}">
              <a16:creationId xmlns:a16="http://schemas.microsoft.com/office/drawing/2014/main" id="{16D4651A-23CB-4BB2-8A00-386E04775838}"/>
            </a:ext>
          </a:extLst>
        </xdr:cNvPr>
        <xdr:cNvSpPr/>
      </xdr:nvSpPr>
      <xdr:spPr>
        <a:xfrm>
          <a:off x="4838700" y="71755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141</xdr:row>
      <xdr:rowOff>0</xdr:rowOff>
    </xdr:from>
    <xdr:ext cx="304800" cy="304800"/>
    <xdr:sp macro="" textlink="">
      <xdr:nvSpPr>
        <xdr:cNvPr id="7" name="Shape 3">
          <a:extLst>
            <a:ext uri="{FF2B5EF4-FFF2-40B4-BE49-F238E27FC236}">
              <a16:creationId xmlns:a16="http://schemas.microsoft.com/office/drawing/2014/main" id="{13F44A8C-1C1C-4B0B-9152-71896B8EA94E}"/>
            </a:ext>
          </a:extLst>
        </xdr:cNvPr>
        <xdr:cNvSpPr/>
      </xdr:nvSpPr>
      <xdr:spPr>
        <a:xfrm>
          <a:off x="4838700" y="71755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twoCellAnchor>
    <xdr:from>
      <xdr:col>5</xdr:col>
      <xdr:colOff>6350</xdr:colOff>
      <xdr:row>26</xdr:row>
      <xdr:rowOff>174624</xdr:rowOff>
    </xdr:from>
    <xdr:to>
      <xdr:col>12</xdr:col>
      <xdr:colOff>7938</xdr:colOff>
      <xdr:row>86</xdr:row>
      <xdr:rowOff>31750</xdr:rowOff>
    </xdr:to>
    <xdr:graphicFrame macro="">
      <xdr:nvGraphicFramePr>
        <xdr:cNvPr id="3" name="Gráfico 2">
          <a:extLst>
            <a:ext uri="{FF2B5EF4-FFF2-40B4-BE49-F238E27FC236}">
              <a16:creationId xmlns:a16="http://schemas.microsoft.com/office/drawing/2014/main" id="{BA07082B-51AF-0AE7-079B-4B6BE9AC3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23812</xdr:colOff>
      <xdr:row>34</xdr:row>
      <xdr:rowOff>7937</xdr:rowOff>
    </xdr:from>
    <xdr:to>
      <xdr:col>3</xdr:col>
      <xdr:colOff>1928811</xdr:colOff>
      <xdr:row>34</xdr:row>
      <xdr:rowOff>4170712</xdr:rowOff>
    </xdr:to>
    <xdr:pic>
      <xdr:nvPicPr>
        <xdr:cNvPr id="4" name="Imagen 3">
          <a:extLst>
            <a:ext uri="{FF2B5EF4-FFF2-40B4-BE49-F238E27FC236}">
              <a16:creationId xmlns:a16="http://schemas.microsoft.com/office/drawing/2014/main" id="{D7FD2A15-4ECC-5A30-E46B-EAD955408C5D}"/>
            </a:ext>
          </a:extLst>
        </xdr:cNvPr>
        <xdr:cNvPicPr>
          <a:picLocks noChangeAspect="1"/>
        </xdr:cNvPicPr>
      </xdr:nvPicPr>
      <xdr:blipFill>
        <a:blip xmlns:r="http://schemas.openxmlformats.org/officeDocument/2006/relationships" r:embed="rId1"/>
        <a:stretch>
          <a:fillRect/>
        </a:stretch>
      </xdr:blipFill>
      <xdr:spPr>
        <a:xfrm>
          <a:off x="3333750" y="21367750"/>
          <a:ext cx="1904999" cy="4162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3.894440972224" createdVersion="6" refreshedVersion="6" minRefreshableVersion="3" recordCount="96" xr:uid="{00000000-000A-0000-FFFF-FFFF00000000}">
  <cacheSource type="worksheet">
    <worksheetSource ref="C3:K99" sheet="COSTOS Y GASTOS ENERO 2026"/>
  </cacheSource>
  <cacheFields count="9">
    <cacheField name="Proveedor" numFmtId="0">
      <sharedItems/>
    </cacheField>
    <cacheField name="concepto" numFmtId="0">
      <sharedItems containsDate="1" containsBlank="1" containsMixedTypes="1" minDate="2026-01-01T00:00:00" maxDate="2026-01-02T00:00:00" longText="1"/>
    </cacheField>
    <cacheField name="Categoria" numFmtId="14">
      <sharedItems count="19">
        <s v="Nominas y prestaciones (Nominas, Examenes medicos, dotacion, Seguridad social)"/>
        <s v="Mantenimiento vias (Transportes de maquinaria, materiales de cantera, irrigacion via)"/>
        <s v="Servicios Integrales (Multiples servicios para el desarrollo de la operación en campo)"/>
        <s v="Insumos ferreteria"/>
        <s v="Repuestos Generales"/>
        <s v="Arrendamientos Operativos"/>
        <s v="Repuestos de Equipo Petrolero"/>
        <s v=" Repuestos de Equipo Petrolero"/>
        <s v="Servicio transporte agua de produccion"/>
        <s v="Combustible"/>
        <s v="Quimicos (quimicos Generales, Quimica para produccion, productos de aseo)"/>
        <s v="Honorarios Operativos"/>
        <s v="Comunidades"/>
        <s v="Caja menor campo "/>
        <s v="Provision Recursos Humanos"/>
        <s v="Provision equipo petrolero"/>
        <s v="Servicios (Administracion, Energia, internet, telefonia y television)"/>
        <s v="Honorarios Administrativos"/>
        <s v="Arrendamientos Administrativos"/>
      </sharedItems>
    </cacheField>
    <cacheField name="Fecha de Facturacion" numFmtId="14">
      <sharedItems containsDate="1" containsMixedTypes="1" minDate="2025-10-22T00:00:00" maxDate="2026-01-31T00:00:00"/>
    </cacheField>
    <cacheField name="Numero de factura " numFmtId="0">
      <sharedItems containsBlank="1"/>
    </cacheField>
    <cacheField name="Monto" numFmtId="165">
      <sharedItems containsSemiMixedTypes="0" containsString="0" containsNumber="1" minValue="37490" maxValue="226090988" count="93">
        <n v="203216"/>
        <n v="1246170"/>
        <n v="500000"/>
        <n v="2201500"/>
        <n v="321300"/>
        <n v="1436819"/>
        <n v="261500"/>
        <n v="300000"/>
        <n v="1200000"/>
        <n v="4800000"/>
        <n v="1520000"/>
        <n v="9591400"/>
        <n v="3561000"/>
        <n v="206450"/>
        <n v="931000"/>
        <n v="177870"/>
        <n v="24627990"/>
        <n v="700000"/>
        <n v="78897000"/>
        <n v="3118500"/>
        <n v="4000000"/>
        <n v="261000"/>
        <n v="1900000"/>
        <n v="17493000"/>
        <n v="18076100"/>
        <n v="1488000"/>
        <n v="2143904"/>
        <n v="15095745"/>
        <n v="6477515"/>
        <n v="105600000"/>
        <n v="62400000"/>
        <n v="316540"/>
        <n v="219814597"/>
        <n v="112383780"/>
        <n v="1500000"/>
        <n v="23000000"/>
        <n v="97600000"/>
        <n v="32308500"/>
        <n v="9282000"/>
        <n v="2415700"/>
        <n v="18652944"/>
        <n v="980300"/>
        <n v="240000"/>
        <n v="27132000"/>
        <n v="29988000"/>
        <n v="47481000"/>
        <n v="18564000"/>
        <n v="21396200"/>
        <n v="3113000"/>
        <n v="372000"/>
        <n v="1217000"/>
        <n v="27200000"/>
        <n v="62400102"/>
        <n v="81526900"/>
        <n v="5271500"/>
        <n v="124928300"/>
        <n v="1385399"/>
        <n v="13100000"/>
        <n v="1368919"/>
        <n v="3680004"/>
        <n v="1250000"/>
        <n v="5150000"/>
        <n v="4248300"/>
        <n v="178500"/>
        <n v="16500000"/>
        <n v="50000000"/>
        <n v="180000"/>
        <n v="1768340"/>
        <n v="2856000"/>
        <n v="1737400"/>
        <n v="785400"/>
        <n v="226090988"/>
        <n v="70043157"/>
        <n v="50937790"/>
        <n v="13952223.978557153"/>
        <n v="739941"/>
        <n v="546210"/>
        <n v="375449"/>
        <n v="77000"/>
        <n v="37490"/>
        <n v="80000"/>
        <n v="1178469"/>
        <n v="233524"/>
        <n v="3000000"/>
        <n v="1908919"/>
        <n v="2043157"/>
        <n v="1680000"/>
        <n v="3387930"/>
        <n v="18350847"/>
        <n v="327894"/>
        <n v="1238571"/>
        <n v="4760000"/>
        <n v="16288757"/>
      </sharedItems>
    </cacheField>
    <cacheField name="Estado" numFmtId="0">
      <sharedItems/>
    </cacheField>
    <cacheField name="Fecha de pago" numFmtId="14">
      <sharedItems containsSemiMixedTypes="0" containsNonDate="0" containsDate="1" containsString="0" minDate="2026-01-05T00:00:00" maxDate="2026-01-31T00:00:00"/>
    </cacheField>
    <cacheField name="Tipo" numFmtId="1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0.560589699075" createdVersion="6" refreshedVersion="6" minRefreshableVersion="3" recordCount="103" xr:uid="{00000000-000A-0000-FFFF-FFFF01000000}">
  <cacheSource type="worksheet">
    <worksheetSource ref="D3:L106" sheet="COSTOS Y GASTOS FEBRERO 2026"/>
  </cacheSource>
  <cacheFields count="9">
    <cacheField name="Proveedor" numFmtId="0">
      <sharedItems/>
    </cacheField>
    <cacheField name="concepto" numFmtId="0">
      <sharedItems containsDate="1" containsBlank="1" containsMixedTypes="1" minDate="2026-02-01T00:00:00" maxDate="2026-02-02T00:00:00" longText="1"/>
    </cacheField>
    <cacheField name="Categoria" numFmtId="0">
      <sharedItems count="25">
        <s v="Repuestos Generales"/>
        <s v="Servicios Integrales (Multiples servicios para el desarrollo de la operación en campo)"/>
        <s v="Nominas y prestaciones (Nominas, Examenes medicos, dotacion, seguridad social)"/>
        <s v="Arrendamientos Operativos"/>
        <s v="Insumos ferreteria "/>
        <s v="Mantenimiento vias (Transportes de maquinaria, materiales de cantera, irrigacion via)"/>
        <s v="Equipo Petrolero"/>
        <s v="Combustible "/>
        <s v="Repuestos de Equipo Petrolero"/>
        <s v="Servicio transporte agua de produccion"/>
        <s v="Caja menor campo "/>
        <s v="Comunidades "/>
        <s v="Provision equipo petrolero"/>
        <s v="Provision Recursos Humanos"/>
        <s v="Honorarios Administrativos"/>
        <s v="Arrendamientos Administrativos"/>
        <s v="Servicios (Administración, Energia, Internet y Telefonia)"/>
        <s v="Respuestos Generales " u="1"/>
        <s v="Servicion Integral (Multiples servicios para el desarrollo de la operación en campo)" u="1"/>
        <s v="Insumos ferreteria" u="1"/>
        <s v="Respuesto Generales " u="1"/>
        <s v="Servicios Integrales (Multiples servicios para el desarrollo de la operación en campo) " u="1"/>
        <s v="Repuestos Generales " u="1"/>
        <s v="Servicio Integral (Multiples servicios para el desarrollo de la operación en campo) " u="1"/>
        <s v="Servicio (Administración, energia, internet, telefonia y television)" u="1"/>
      </sharedItems>
    </cacheField>
    <cacheField name="Fecha de Facturacion" numFmtId="0">
      <sharedItems containsDate="1" containsMixedTypes="1" minDate="2025-10-14T00:00:00" maxDate="2026-03-01T00:00:00"/>
    </cacheField>
    <cacheField name="Numero de factura " numFmtId="0">
      <sharedItems/>
    </cacheField>
    <cacheField name="Monto" numFmtId="165">
      <sharedItems containsSemiMixedTypes="0" containsString="0" containsNumber="1" minValue="50000" maxValue="223884720"/>
    </cacheField>
    <cacheField name="Estado" numFmtId="0">
      <sharedItems/>
    </cacheField>
    <cacheField name="Fecha de pago" numFmtId="169">
      <sharedItems containsSemiMixedTypes="0" containsNonDate="0" containsDate="1" containsString="0" minDate="2026-01-30T00:00:00" maxDate="2026-03-01T00:00:00"/>
    </cacheField>
    <cacheField name="Tipo" numFmtId="1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morales" refreshedDate="46122.474692361109" createdVersion="8" refreshedVersion="8" minRefreshableVersion="3" recordCount="159" xr:uid="{30228F60-485D-40D5-AF27-57A9F6A46296}">
  <cacheSource type="worksheet">
    <worksheetSource ref="D2:L161" sheet="COSTOS Y GASTOS MARZO 2026"/>
  </cacheSource>
  <cacheFields count="9">
    <cacheField name="Proveedor" numFmtId="0">
      <sharedItems/>
    </cacheField>
    <cacheField name="concepto" numFmtId="0">
      <sharedItems containsDate="1" containsBlank="1" containsMixedTypes="1" minDate="2026-03-01T00:00:00" maxDate="2026-03-02T00:00:00" longText="1"/>
    </cacheField>
    <cacheField name="Categoria" numFmtId="0">
      <sharedItems count="42">
        <s v="Repuestos Generales"/>
        <s v="Servicio transporte agua de produccion "/>
        <s v="Arrendamientos Operativos"/>
        <s v="Insumos Ferreteria "/>
        <s v="Servicios Integrales (Multiples servicios para el desarrollo de la operación en campo)"/>
        <s v="Quimicos (Quimicos Generales, Quimicos para producción, productos de aseo)"/>
        <s v="Servicios (Administracion, energia, internet, telefono y television)"/>
        <s v="Combustible"/>
        <s v="Repuestos de Equipo Petrolero"/>
        <s v="Nominas y prestaciones (Nominas, examenes medicos, dotacion, seguridad social)"/>
        <s v="Mantenimiento vias (Transportes de maquinaria, materiales de cantera, irrigacion via)"/>
        <s v="Arrendamientos Administrativos"/>
        <s v="Honorarios Operativos "/>
        <s v="Insumos campo"/>
        <s v="Equipo Petrolero"/>
        <s v="Caja menor campo "/>
        <s v="Comunidades "/>
        <s v="Provisiones Recursos Humanos"/>
        <s v="Provision equipo petrolero"/>
        <s v="Honorarios Administrativos "/>
        <s v=" Repuestos de Equipo Petrolero" u="1"/>
        <s v="Servicios (Administración, energia, internet, telefono y television)" u="1"/>
        <s v="Servicios (Administrativo, Energia, internet, telefono y television)" u="1"/>
        <s v="Servicio Integral  (Multiples servicios para el desarrollo de la operación en campo)" u="1"/>
        <s v="Servicos integrales (Multiples servicios para el desarrollo de la operación en campo) " u="1"/>
        <s v="Servicio Integral  (Multiples servicios para el desarrollo de la operación administrativa)" u="1"/>
        <s v="Repuestos de equipos petroleros " u="1"/>
        <s v="Repuestos de equipos petroleros" u="1"/>
        <s v="Quimicos (quimicos Generales, Quimica para produccion, productos de aseo)" u="1"/>
        <s v="Nominas y prestaciones (Nominas, examenes medicos, dotación, seguridad social " u="1"/>
        <s v="Nominas y prestaciones (Nomina, Examenes medicos, dotación, seguridad social)" u="1"/>
        <s v="Nominas y prestaciones (Nominas, examenes medicos, dotación, seguridad social )" u="1"/>
        <s v="Nominas y prestaciones (Nominas, examenes medicos, dotacion, seguridad social " u="1"/>
        <s v="Nominas y prestaciones (Nominas, examenes medicos, dotacion, seguridad social )" u="1"/>
        <s v="Insumo ferreteria " u="1"/>
        <s v="Insumo ferreteria" u="1"/>
        <s v="Insumos  Ferreteria " u="1"/>
        <s v="Arrendamiento Operativos" u="1"/>
        <s v=" Arrendamientos Operativos " u="1"/>
        <s v="Arrendamientos operativos " u="1"/>
        <s v="Arrendamiento administrativo " u="1"/>
        <s v="Arrendamientos Administrativos " u="1"/>
      </sharedItems>
    </cacheField>
    <cacheField name="Fecha de Facturacion" numFmtId="0">
      <sharedItems containsDate="1" containsMixedTypes="1" minDate="2025-11-27T00:00:00" maxDate="2026-03-31T00:00:00"/>
    </cacheField>
    <cacheField name="Numero de factura " numFmtId="0">
      <sharedItems/>
    </cacheField>
    <cacheField name="Monto" numFmtId="165">
      <sharedItems containsSemiMixedTypes="0" containsString="0" containsNumber="1" minValue="74980" maxValue="235386891"/>
    </cacheField>
    <cacheField name="Estado" numFmtId="0">
      <sharedItems/>
    </cacheField>
    <cacheField name="Fecha de pago" numFmtId="14">
      <sharedItems containsSemiMixedTypes="0" containsNonDate="0" containsDate="1" containsString="0" minDate="2026-01-30T00:00:00" maxDate="2026-03-31T00:00:00"/>
    </cacheField>
    <cacheField name="Tipo" numFmtId="14">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morales" refreshedDate="46153.482212731484" createdVersion="8" refreshedVersion="8" minRefreshableVersion="3" recordCount="100" xr:uid="{FFF2A994-E41A-4F78-9711-9430321A46A7}">
  <cacheSource type="worksheet">
    <worksheetSource ref="C2:K102" sheet="COSTOS Y GASTOS ABRIL 2026"/>
  </cacheSource>
  <cacheFields count="9">
    <cacheField name="Proveedor" numFmtId="0">
      <sharedItems/>
    </cacheField>
    <cacheField name="concepto" numFmtId="0">
      <sharedItems containsDate="1" containsBlank="1" containsMixedTypes="1" minDate="2026-04-01T00:00:00" maxDate="2026-04-02T00:00:00" longText="1"/>
    </cacheField>
    <cacheField name="Categoria" numFmtId="0">
      <sharedItems count="20">
        <s v="Servicio transporte agua de produccion "/>
        <s v="Arrendamientos Operativos"/>
        <s v="Insumos Ferreteria "/>
        <s v="Honorarios Operativos"/>
        <s v="Repuestos de Equipo Petrolero"/>
        <s v="Servicios Integrales (Multiples servicios para el desarrollo de la operación en campo)"/>
        <s v="Mantenimiento vias (Transportes de maquinaria, materiales de cantera, irrigacion via)"/>
        <s v="Combustible "/>
        <s v="Equipo petrolero"/>
        <s v="Nominas y prestaciones (Nominas, examenes medicos, dotacion, seguridad social)"/>
        <s v="Repuestos Generales"/>
        <s v="Insumos campo"/>
        <s v="Servicios (Administracion, energia, internet, telefono y television)"/>
        <s v="Comunidades"/>
        <s v="Quimicos (Quimicos Generales, Quimicos para producción, productos de aseo)"/>
        <s v="Caja menor campo "/>
        <s v="Provision equipo petrolero"/>
        <s v="Provisiones Recursos Humanos"/>
        <s v="Honorarios Administrativos "/>
        <s v="Servicio transporte agua de produccion" u="1"/>
      </sharedItems>
    </cacheField>
    <cacheField name="Fecha de Facturacion" numFmtId="14">
      <sharedItems containsDate="1" containsMixedTypes="1" minDate="2026-02-02T00:00:00" maxDate="2026-05-01T00:00:00"/>
    </cacheField>
    <cacheField name="Numero de factura " numFmtId="0">
      <sharedItems/>
    </cacheField>
    <cacheField name="Monto" numFmtId="165">
      <sharedItems containsSemiMixedTypes="0" containsString="0" containsNumber="1" minValue="74980" maxValue="223189321"/>
    </cacheField>
    <cacheField name="Estado" numFmtId="0">
      <sharedItems/>
    </cacheField>
    <cacheField name="Fecha de pago" numFmtId="14">
      <sharedItems containsSemiMixedTypes="0" containsNonDate="0" containsDate="1" containsString="0" minDate="2026-04-01T00:00:00" maxDate="2026-05-01T00:00:00"/>
    </cacheField>
    <cacheField name="Tipo" numFmtId="1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6">
  <r>
    <s v="Elio aguillon"/>
    <s v="Saldo liquidacion "/>
    <x v="0"/>
    <d v="2026-01-05T00:00:00"/>
    <s v="Liquidacion"/>
    <x v="0"/>
    <s v="PAGADA "/>
    <d v="2026-01-05T00:00:00"/>
    <s v="CP"/>
  </r>
  <r>
    <s v="Maria Bastilla "/>
    <s v="Saldo liquidacion "/>
    <x v="0"/>
    <d v="2026-01-05T00:00:00"/>
    <s v="Liquidacion"/>
    <x v="1"/>
    <s v="PAGADA "/>
    <d v="2026-01-05T00:00:00"/>
    <s v="CP"/>
  </r>
  <r>
    <s v="Wilson Olaya "/>
    <s v="Saldo de segunda quincena Diciembre 2025 "/>
    <x v="0"/>
    <d v="2026-01-06T00:00:00"/>
    <s v="Segunda quincena Diciembre 2025"/>
    <x v="2"/>
    <s v="PAGADA "/>
    <d v="2026-01-06T00:00:00"/>
    <s v="CP"/>
  </r>
  <r>
    <s v="AGREGADOS PETREOS DEL ARIPORO"/>
    <s v="Suministro material de cantera"/>
    <x v="1"/>
    <d v="2025-11-20T00:00:00"/>
    <s v="FE 855"/>
    <x v="3"/>
    <s v="PAGADA"/>
    <d v="2026-01-06T00:00:00"/>
    <s v="CP"/>
  </r>
  <r>
    <s v="AGREGADOS PETREOS DEL ARIPORO"/>
    <s v="Suministro material de cantera"/>
    <x v="1"/>
    <d v="2025-11-20T00:00:00"/>
    <s v="FE 856"/>
    <x v="4"/>
    <s v="PAGADA"/>
    <d v="2026-01-06T00:00:00"/>
    <s v="CP"/>
  </r>
  <r>
    <s v="ELOGY TECNOLOGIA ECOLOGICA S.A.S"/>
    <s v="Tratamiento y disposicion final de aguas residuales"/>
    <x v="2"/>
    <d v="2025-12-17T00:00:00"/>
    <s v="ELEC 1073"/>
    <x v="5"/>
    <s v="PAGADA"/>
    <d v="2026-01-06T00:00:00"/>
    <s v="CP"/>
  </r>
  <r>
    <s v="EMMANUEL DOTACIONES"/>
    <s v="Dotacion Personal"/>
    <x v="0"/>
    <d v="2025-12-26T00:00:00"/>
    <s v="CT1 7389"/>
    <x v="6"/>
    <s v="PAGADA"/>
    <d v="2026-01-06T00:00:00"/>
    <s v="CP"/>
  </r>
  <r>
    <s v="Jose del Carmen Rojas"/>
    <s v="Insumos campo"/>
    <x v="3"/>
    <d v="2025-12-19T00:00:00"/>
    <s v="N 50038"/>
    <x v="7"/>
    <s v="PAGADA"/>
    <d v="2026-01-06T00:00:00"/>
    <s v="CP"/>
  </r>
  <r>
    <s v="Jose del Carmen Rojas"/>
    <s v="Insumos campo"/>
    <x v="3"/>
    <d v="2025-12-22T00:00:00"/>
    <s v="N 49993"/>
    <x v="8"/>
    <s v="PAGADA"/>
    <d v="2026-01-06T00:00:00"/>
    <s v="CP"/>
  </r>
  <r>
    <s v="Martha Duralva Riay"/>
    <s v="Transporte de grua"/>
    <x v="2"/>
    <d v="2026-01-05T00:00:00"/>
    <s v="Cuenta de cobro 20250126"/>
    <x v="9"/>
    <s v="PAGADA"/>
    <d v="2026-01-06T00:00:00"/>
    <s v="CP"/>
  </r>
  <r>
    <s v="MANGUERAS Y RACORES"/>
    <s v="Repuestos Generales"/>
    <x v="4"/>
    <d v="2026-01-06T00:00:00"/>
    <s v="Cotizacion 371"/>
    <x v="10"/>
    <s v="PAGADA"/>
    <d v="2026-01-08T00:00:00"/>
    <s v="CP"/>
  </r>
  <r>
    <s v="CHARWELD E.U"/>
    <s v="Renta cargadero OCT 2025"/>
    <x v="5"/>
    <d v="2025-11-06T00:00:00"/>
    <s v="FEV 1261"/>
    <x v="11"/>
    <s v="PAGADA"/>
    <d v="2026-01-09T00:00:00"/>
    <s v="CP"/>
  </r>
  <r>
    <s v="Dhameliz Avellaneda"/>
    <s v="Refrigerios Comunidades "/>
    <x v="2"/>
    <d v="2026-01-09T00:00:00"/>
    <s v="Cuenta de cobro 001"/>
    <x v="12"/>
    <s v="PAGADA"/>
    <d v="2026-01-09T00:00:00"/>
    <s v="CP"/>
  </r>
  <r>
    <s v="EMMANUEL DOTACIONES"/>
    <s v="Dotacion Personal"/>
    <x v="0"/>
    <d v="2025-12-12T00:00:00"/>
    <s v="CT1 7454"/>
    <x v="13"/>
    <s v="PAGADA"/>
    <d v="2026-01-09T00:00:00"/>
    <s v="CP"/>
  </r>
  <r>
    <s v="Nhora Rocio Pacativa"/>
    <s v="Dotacion Personal"/>
    <x v="0"/>
    <d v="2026-01-08T00:00:00"/>
    <s v="Orden de compra 260107"/>
    <x v="14"/>
    <s v="PAGADA"/>
    <d v="2026-01-09T00:00:00"/>
    <s v="CP"/>
  </r>
  <r>
    <s v="Sergio Ruiz Rios "/>
    <s v="Saldo liquidacion "/>
    <x v="0"/>
    <d v="2026-01-09T00:00:00"/>
    <s v="Liquidacion"/>
    <x v="15"/>
    <s v="PAGADA "/>
    <d v="2026-01-09T00:00:00"/>
    <s v="CP"/>
  </r>
  <r>
    <s v="ENVIOIL ENVIROMENTAL OIL SERVICES S.A.S"/>
    <s v="Tratamiento y disposicion final de agua"/>
    <x v="2"/>
    <d v="2025-11-20T00:00:00"/>
    <s v="ENVI 92"/>
    <x v="16"/>
    <s v="PAGADA"/>
    <d v="2026-01-13T00:00:00"/>
    <s v="CP"/>
  </r>
  <r>
    <s v="Fabio Jacinto Miller"/>
    <s v="Servicio de alquiler vehiculo "/>
    <x v="5"/>
    <d v="2025-12-11T00:00:00"/>
    <s v="FELT 50"/>
    <x v="17"/>
    <s v="PAGADA"/>
    <d v="2026-01-13T00:00:00"/>
    <s v="CP"/>
  </r>
  <r>
    <s v="FORPETROIL S.A.S"/>
    <s v=".Renta Unidad de Bombeo Hidraulico (01 NOV al 30 NOV 2025)                                                         .Renta caseta tipo Company (01 NOV al 30 NOV 2025)                                                .Renta caseta tipo dormitorio (01 NOV al 30 NOV 2025)                                                       .Renta Generador 230kw (01 NOV al 30 NOV 2025)                                      .Renta de 2 tanques horizontales (01 NOV al 30 NOV 2025)  "/>
    <x v="5"/>
    <d v="2025-12-11T00:00:00"/>
    <s v="FACT 6"/>
    <x v="18"/>
    <s v="PAGADA"/>
    <d v="2026-01-13T00:00:00"/>
    <s v="CP"/>
  </r>
  <r>
    <s v="Jose del Carmen Rojas"/>
    <s v="Insumos ferreteria"/>
    <x v="3"/>
    <d v="2025-12-10T00:00:00"/>
    <s v="N 49722"/>
    <x v="19"/>
    <s v="PAGADA"/>
    <d v="2026-01-13T00:00:00"/>
    <s v="CP"/>
  </r>
  <r>
    <s v="Jose James Correa"/>
    <s v="Alquiler camioneta NOV 2025"/>
    <x v="5"/>
    <d v="2025-12-03T00:00:00"/>
    <s v="Cuenta de cobro 0022025"/>
    <x v="20"/>
    <s v="PAGADA"/>
    <d v="2026-01-13T00:00:00"/>
    <s v="CP"/>
  </r>
  <r>
    <s v="Lubdy londoño"/>
    <s v="Examenes medicos"/>
    <x v="0"/>
    <d v="2025-12-04T00:00:00"/>
    <s v="FELL 2060"/>
    <x v="21"/>
    <s v="PAGADA"/>
    <d v="2026-01-13T00:00:00"/>
    <s v="CP"/>
  </r>
  <r>
    <s v="Luis Fernando Perez Tabaco"/>
    <s v="Servicio transporte de carga"/>
    <x v="2"/>
    <d v="2025-12-11T00:00:00"/>
    <s v="FE 206"/>
    <x v="22"/>
    <s v="PAGADA"/>
    <d v="2026-01-13T00:00:00"/>
    <s v="CP"/>
  </r>
  <r>
    <s v="LYT SERVICES SAS"/>
    <s v=". TUBERIA DE ALTA 6000 PSI DE 2 A PIE/DIA (01 AGOS AL 30 AGOS 2025)                                                       .TEA DE 3 INCLUYE ATRAPALLAMAS (01 AGOS AL 30 AGOS 2025)"/>
    <x v="5"/>
    <d v="2025-11-04T00:00:00"/>
    <s v="FE 3557"/>
    <x v="23"/>
    <s v="PAGADA"/>
    <d v="2026-01-13T00:00:00"/>
    <s v="CP"/>
  </r>
  <r>
    <s v="LYT SERVICES SAS"/>
    <s v=". TUBERIA DE ALTA 6000 PSI DE 2 A PIE/DIA (01 SEPT AL 31 SEPT 2025)                                                       .TEA DE 3 INCLUYE ATRAPALLAMAS (01 SEPT AL SEPT JUL 2025) "/>
    <x v="5"/>
    <d v="2025-11-04T00:00:00"/>
    <s v="FE 3558"/>
    <x v="24"/>
    <s v="PAGADA"/>
    <d v="2026-01-13T00:00:00"/>
    <s v="CP"/>
  </r>
  <r>
    <s v="LYT SERVICES SAS"/>
    <s v=". TUBERIA DE ALTA 6000 PSI DE 2 A PIE/DIA  (01 OCT AL 31 OCT 2025)                                                       .TEA DE 3 INCLUYE ATRAPALLAMAS   (01 OCT AL 31 OCT 2025) "/>
    <x v="5"/>
    <d v="2025-11-04T00:00:00"/>
    <s v="FE 3559"/>
    <x v="24"/>
    <s v="PAGADA"/>
    <d v="2026-01-13T00:00:00"/>
    <s v="CP"/>
  </r>
  <r>
    <s v="Mauricio Florez"/>
    <s v="Examen medico"/>
    <x v="0"/>
    <d v="2025-12-04T00:00:00"/>
    <s v="FAM 2806"/>
    <x v="25"/>
    <s v="PAGADA"/>
    <d v="2026-01-13T00:00:00"/>
    <s v="CP"/>
  </r>
  <r>
    <s v="PETROREPUESTOS"/>
    <s v="Repuestos de Equipo Petrolero"/>
    <x v="6"/>
    <d v="2025-10-22T00:00:00"/>
    <s v="FAC 3733"/>
    <x v="26"/>
    <s v="PAGADA"/>
    <d v="2026-01-13T00:00:00"/>
    <s v="CP"/>
  </r>
  <r>
    <s v="PETROREPUESTOS"/>
    <s v=" Repuestos de Equipo Petrolero"/>
    <x v="7"/>
    <d v="2025-11-19T00:00:00"/>
    <s v="FAC 3738"/>
    <x v="27"/>
    <s v="PAGADA"/>
    <d v="2026-01-13T00:00:00"/>
    <s v="CP"/>
  </r>
  <r>
    <s v="PETROREPUESTOS"/>
    <s v=" Repuestos de Equipo Petrolero"/>
    <x v="7"/>
    <d v="2025-11-20T00:00:00"/>
    <s v="FAC 3739"/>
    <x v="28"/>
    <s v="PAGADA"/>
    <d v="2026-01-13T00:00:00"/>
    <s v="CP"/>
  </r>
  <r>
    <s v="TRANSPORTES MULTICARGA S.A.S"/>
    <s v="Transporte agua crudo"/>
    <x v="8"/>
    <d v="2025-11-21T00:00:00"/>
    <s v="FETM 9257"/>
    <x v="29"/>
    <s v="PAGADA"/>
    <d v="2026-01-13T00:00:00"/>
    <s v="CP"/>
  </r>
  <r>
    <s v="TRANSPORTES MULTICARGA S.A.S"/>
    <s v="Transporte agua crudo"/>
    <x v="8"/>
    <d v="2025-12-03T00:00:00"/>
    <s v="FE 9297"/>
    <x v="30"/>
    <s v="PAGADA"/>
    <d v="2026-01-13T00:00:00"/>
    <s v="CP"/>
  </r>
  <r>
    <s v="DON DOTACION"/>
    <s v="Dotacion Personal"/>
    <x v="0"/>
    <d v="2026-01-14T00:00:00"/>
    <s v="Orden de compra 260110"/>
    <x v="31"/>
    <s v="PAGADA"/>
    <d v="2026-01-14T00:00:00"/>
    <s v="CP"/>
  </r>
  <r>
    <s v="NOMINA"/>
    <s v="Nomina Operativa "/>
    <x v="0"/>
    <d v="2026-01-15T00:00:00"/>
    <s v="Primer quincena enero 2026"/>
    <x v="32"/>
    <s v="PAGADA "/>
    <d v="2026-01-15T00:00:00"/>
    <s v="CP"/>
  </r>
  <r>
    <s v="INVERSIONES RIVEROS"/>
    <s v="ACPM"/>
    <x v="9"/>
    <d v="2025-12-30T00:00:00"/>
    <s v="CBPZ 921"/>
    <x v="33"/>
    <s v="PAGADA"/>
    <d v="2026-01-15T00:00:00"/>
    <s v="CP"/>
  </r>
  <r>
    <s v="BAUDILIO GOMEZ CAMACHO "/>
    <s v="Servicio de Operación y Renta de Maquinaria Amarilla"/>
    <x v="2"/>
    <d v="2026-01-13T00:00:00"/>
    <s v="FE 122"/>
    <x v="34"/>
    <s v="PAGADA "/>
    <d v="2026-01-19T00:00:00"/>
    <s v="CP"/>
  </r>
  <r>
    <s v="BAUDILIO GOMEZ CAMACHO "/>
    <s v="Servicio de Operación y Renta de Maquinaria Amarilla"/>
    <x v="2"/>
    <d v="2026-01-13T00:00:00"/>
    <s v="FE 120"/>
    <x v="35"/>
    <s v="PAGADA "/>
    <d v="2026-01-19T00:00:00"/>
    <s v="CP"/>
  </r>
  <r>
    <s v="AGREGADOS PETREOS DEL ARIPORO"/>
    <s v="Transporte agua crudo"/>
    <x v="8"/>
    <d v="2025-12-10T00:00:00"/>
    <s v="FE 866"/>
    <x v="36"/>
    <s v="PAGADA"/>
    <d v="2026-01-21T00:00:00"/>
    <s v="CP"/>
  </r>
  <r>
    <s v="CAMPAMENTOS CASANARE"/>
    <m/>
    <x v="5"/>
    <d v="2025-12-10T00:00:00"/>
    <s v="A 3547"/>
    <x v="37"/>
    <s v="PAGADA"/>
    <d v="2026-01-21T00:00:00"/>
    <s v="CP"/>
  </r>
  <r>
    <s v="CHARWELD E.U"/>
    <s v="Renta cargadero NOV 2025"/>
    <x v="5"/>
    <d v="2025-12-01T00:00:00"/>
    <s v="FEV 1264"/>
    <x v="38"/>
    <s v="PAGADA"/>
    <d v="2026-01-21T00:00:00"/>
    <s v="CP"/>
  </r>
  <r>
    <s v="DON DOTACION"/>
    <s v="Dotacion Personal"/>
    <x v="0"/>
    <d v="2026-01-19T00:00:00"/>
    <s v="Orden de compra 260118"/>
    <x v="39"/>
    <s v="PAGADA"/>
    <d v="2026-01-21T00:00:00"/>
    <s v="CP"/>
  </r>
  <r>
    <s v="ELOGY TECNOLOGIA ECOLOGICA S.A.S"/>
    <s v="Tratamiento y disposicion final de tierras contaminadas, solidos contamidos y solidos ordinarios"/>
    <x v="2"/>
    <d v="2025-12-19T00:00:00"/>
    <s v="ELEC 1080"/>
    <x v="40"/>
    <s v="PAGADA"/>
    <d v="2026-01-21T00:00:00"/>
    <s v="CP"/>
  </r>
  <r>
    <s v="EMMANUEL DOTACIONES"/>
    <s v="Dotacion Personal"/>
    <x v="0"/>
    <d v="2026-01-20T00:00:00"/>
    <s v="RMY 1327"/>
    <x v="41"/>
    <s v="PAGADA"/>
    <d v="2026-01-21T00:00:00"/>
    <s v="CP"/>
  </r>
  <r>
    <s v="EMMANUEL DOTACIONES"/>
    <s v="Dotacion Personal"/>
    <x v="0"/>
    <d v="2026-01-14T00:00:00"/>
    <s v="CT1 7550"/>
    <x v="42"/>
    <s v="PAGADA"/>
    <d v="2026-01-21T00:00:00"/>
    <s v="CP"/>
  </r>
  <r>
    <s v="ESTANDAR OIL SAS"/>
    <s v="Alquiler frac tank (01 NOV al 30 NOV 2025)            "/>
    <x v="5"/>
    <d v="2025-12-09T00:00:00"/>
    <s v="STFE 26"/>
    <x v="43"/>
    <s v="PAGADA"/>
    <d v="2026-01-21T00:00:00"/>
    <s v="CP"/>
  </r>
  <r>
    <s v="ESTANDAR OIL SAS"/>
    <s v="Alquiler tanques horizontales   (01 NOV al 30 NOV 2025)             "/>
    <x v="5"/>
    <d v="2025-12-09T00:00:00"/>
    <s v="STFE 27"/>
    <x v="44"/>
    <s v="PAGADA"/>
    <d v="2026-01-21T00:00:00"/>
    <s v="CP"/>
  </r>
  <r>
    <s v="ESTANDAR OIL SAS"/>
    <s v="Alquiler tanques verticales  (01 NOV al 30 NOV 2025)          "/>
    <x v="5"/>
    <d v="2025-12-09T00:00:00"/>
    <s v="STFE 28"/>
    <x v="45"/>
    <s v="PAGADA"/>
    <d v="2026-01-21T00:00:00"/>
    <s v="CP"/>
  </r>
  <r>
    <s v="ESTANDAR OIL SAS"/>
    <s v="Alquiler gun barrel (01 NOV al 30 NOV 2025)               "/>
    <x v="5"/>
    <d v="2025-12-09T00:00:00"/>
    <s v="STFE 29"/>
    <x v="46"/>
    <s v="PAGADA"/>
    <d v="2026-01-21T00:00:00"/>
    <s v="CP"/>
  </r>
  <r>
    <s v="INDETRO INGENIERIA LTDA"/>
    <s v=".ALQUILER DE 4 TANQUES HORIZONTALES  500 BBL.       ( DEL 01 DE  OCT AL 31 DE OCT  2025)                  .ALQUILER 2 PLATAFORMAS (DEL 01 DE  OCT AL 31 DE OCT 2025)"/>
    <x v="5"/>
    <d v="2025-12-13T00:00:00"/>
    <s v="FV 7952"/>
    <x v="47"/>
    <s v="PAGADA"/>
    <d v="2026-01-21T00:00:00"/>
    <s v="CP"/>
  </r>
  <r>
    <s v="Jose del Carmen Rojas"/>
    <s v="Insumos ferreteria"/>
    <x v="3"/>
    <d v="2025-12-09T00:00:00"/>
    <s v="N 49690"/>
    <x v="48"/>
    <s v="PAGADA"/>
    <d v="2026-01-21T00:00:00"/>
    <s v="CP"/>
  </r>
  <r>
    <s v="Jose del Carmen Rojas"/>
    <s v="Insumos ferreteria"/>
    <x v="3"/>
    <d v="2025-12-09T00:00:00"/>
    <s v="N 49691"/>
    <x v="49"/>
    <s v="PAGADA"/>
    <d v="2026-01-21T00:00:00"/>
    <s v="CP"/>
  </r>
  <r>
    <s v="Jose del Carmen Rojas"/>
    <s v="Insumos ferreteria"/>
    <x v="3"/>
    <d v="2025-12-17T00:00:00"/>
    <s v="N 49950"/>
    <x v="50"/>
    <s v="PAGADA"/>
    <d v="2026-01-21T00:00:00"/>
    <s v="CP"/>
  </r>
  <r>
    <s v="Julio Arley Torres"/>
    <s v="Trasporte de Agua para Irrigacion de la via donde transitan las mulas (01 OCT al 31 OCT 2025)"/>
    <x v="1"/>
    <d v="2025-12-11T00:00:00"/>
    <s v="JT 298"/>
    <x v="51"/>
    <s v="PAGADA"/>
    <d v="2026-01-21T00:00:00"/>
    <s v="CP"/>
  </r>
  <r>
    <s v="LIPESA"/>
    <s v="Quimica para produccion"/>
    <x v="10"/>
    <d v="2025-11-14T00:00:00"/>
    <s v="FAL 219121"/>
    <x v="52"/>
    <s v="PAGADA"/>
    <d v="2026-01-21T00:00:00"/>
    <s v="CP"/>
  </r>
  <r>
    <s v="PACIFIC ENERGY SOLUTIONS SAS"/>
    <s v=".Renta Unidad de Bombeo Hidraulico (01 OCT al 31 OCT 2025)                                                 .Renta caseta tipo Company (01 OCT al 31 OCT 2025)                                                          .Renta caseta tipo dormitorio (01 OCT al 31 OCT 2025)                                                                         .Renta Generador 230kw  (01 OCT al 31 OCT 2025)                                                          .Renta de 2 tanques horizontales (01 OCT al 31 OCT 2025)          "/>
    <x v="5"/>
    <d v="2025-11-05T00:00:00"/>
    <s v="PEFE 6"/>
    <x v="53"/>
    <s v="PAGADA"/>
    <d v="2026-01-21T00:00:00"/>
    <s v="CP"/>
  </r>
  <r>
    <s v="TRANSPORTES ESPECIALES PACIFIC TOURS S.A.S"/>
    <s v="Servicio de transporte de personal "/>
    <x v="2"/>
    <d v="2025-12-11T00:00:00"/>
    <s v="PC 159"/>
    <x v="54"/>
    <s v="PAGADA"/>
    <d v="2026-01-21T00:00:00"/>
    <s v="CP"/>
  </r>
  <r>
    <s v="SEGURIDAD SOCIAL "/>
    <d v="2026-01-01T00:00:00"/>
    <x v="0"/>
    <d v="2026-01-15T00:00:00"/>
    <s v="-"/>
    <x v="55"/>
    <s v="PAGADA "/>
    <d v="2026-01-21T00:00:00"/>
    <s v="CP"/>
  </r>
  <r>
    <s v="SERVICIO TECNICO AUTOMOTRIZ O.P.R S.A.S"/>
    <s v="Repuestos Generales"/>
    <x v="4"/>
    <d v="2026-01-10T00:00:00"/>
    <s v="FE 2804"/>
    <x v="56"/>
    <s v="PAGADA"/>
    <d v="2026-01-22T00:00:00"/>
    <s v="CP"/>
  </r>
  <r>
    <s v="Andres Felipe Sanchez"/>
    <s v="Elaboracion de inventario forestal"/>
    <x v="2"/>
    <d v="2025-12-22T00:00:00"/>
    <s v="Cuenta de cobro 01"/>
    <x v="57"/>
    <s v="PAGADA"/>
    <d v="2026-01-24T00:00:00"/>
    <s v="CP"/>
  </r>
  <r>
    <s v="INOXMAC IMPORTADORA Y COMERCIALIZADORA INDUSTRIAL S.A.S"/>
    <s v="Repuestos Generales"/>
    <x v="4"/>
    <d v="2026-01-15T00:00:00"/>
    <s v="Orden de servicios 260115"/>
    <x v="58"/>
    <s v="PAGADA"/>
    <d v="2026-01-24T00:00:00"/>
    <s v="CP"/>
  </r>
  <r>
    <s v="MATERIALES ELECTRICOS V M S.A.S"/>
    <s v="Repuestos Generales"/>
    <x v="4"/>
    <d v="2026-01-13T00:00:00"/>
    <s v="Orden de compra 260109"/>
    <x v="59"/>
    <s v="PAGADA"/>
    <d v="2026-01-24T00:00:00"/>
    <s v="CP"/>
  </r>
  <r>
    <s v="COLCHONES Y SOMIERES SUPER COMODOS S.A.S"/>
    <s v="Colchones para estacion KIMBO"/>
    <x v="4"/>
    <d v="2026-01-25T00:00:00"/>
    <s v="Orden de compra 260123"/>
    <x v="60"/>
    <s v="PAGADA"/>
    <d v="2026-01-27T00:00:00"/>
    <s v="CP"/>
  </r>
  <r>
    <s v="Diego Alejandro Camacho"/>
    <s v="Transporte de Unidad de bombeo hidraulico"/>
    <x v="2"/>
    <d v="2026-01-16T00:00:00"/>
    <s v="Cuenta de Cobro 025"/>
    <x v="61"/>
    <s v="PAGADA"/>
    <d v="2026-01-27T00:00:00"/>
    <s v="CP"/>
  </r>
  <r>
    <s v="DON DOTACION"/>
    <s v="Dotacion Personal"/>
    <x v="0"/>
    <d v="2026-01-26T00:00:00"/>
    <s v="Orden de compra 260126"/>
    <x v="62"/>
    <s v="PAGADA"/>
    <d v="2026-01-27T00:00:00"/>
    <s v="CP"/>
  </r>
  <r>
    <s v="MATERIALES ELECTRICOS V M S.A.S"/>
    <s v="Repuestos Generales"/>
    <x v="4"/>
    <d v="2026-01-25T00:00:00"/>
    <s v="Orden de compra 260124"/>
    <x v="63"/>
    <s v="PAGADA"/>
    <d v="2026-01-27T00:00:00"/>
    <s v="CP"/>
  </r>
  <r>
    <s v="Reinaldo Perez Hurtado"/>
    <s v="Georeferenciacion y servicios topograficos "/>
    <x v="2"/>
    <d v="2026-01-06T00:00:00"/>
    <s v="Orden de servicio 260103"/>
    <x v="64"/>
    <s v="PAGADA"/>
    <d v="2026-01-27T00:00:00"/>
    <s v="CP"/>
  </r>
  <r>
    <s v="Marcelo Rojas Ballesteros"/>
    <s v="Servicio consultoria juridica"/>
    <x v="11"/>
    <d v="2026-01-06T00:00:00"/>
    <s v="Cuenta de cobro 009"/>
    <x v="20"/>
    <s v="PAGADA"/>
    <d v="2026-01-28T00:00:00"/>
    <s v="CP"/>
  </r>
  <r>
    <s v="COMUNIDADES "/>
    <d v="2026-01-01T00:00:00"/>
    <x v="12"/>
    <s v="-"/>
    <s v="-"/>
    <x v="65"/>
    <s v="PAGADA "/>
    <d v="2026-01-30T00:00:00"/>
    <s v="CP"/>
  </r>
  <r>
    <s v="COMERCIALIZADORA INDUSTRIAL LIUTEX S.A.S"/>
    <s v="Quimicos (quimicos Generales, Quimica para produccion, productos de aseo)"/>
    <x v="10"/>
    <d v="2026-01-26T00:00:00"/>
    <s v="Orden de compra 260129"/>
    <x v="66"/>
    <s v="PAGADA"/>
    <d v="2026-01-30T00:00:00"/>
    <s v="CP"/>
  </r>
  <r>
    <s v="EQUIPOS Y MEDICIONES TECNICAS S.A.S"/>
    <s v="Servicio de revision y calibracion de balanza analitica"/>
    <x v="2"/>
    <d v="2026-01-27T00:00:00"/>
    <s v="PROFORMA 0020421"/>
    <x v="67"/>
    <s v="PAGADA"/>
    <d v="2026-01-30T00:00:00"/>
    <s v="CP"/>
  </r>
  <r>
    <s v="G Y J FERRETERIAS S.A"/>
    <s v="Insumos ferreteria"/>
    <x v="3"/>
    <d v="2026-01-26T00:00:00"/>
    <s v="Orden de compra 260133"/>
    <x v="68"/>
    <s v="PAGADA"/>
    <d v="2026-01-30T00:00:00"/>
    <s v="CP"/>
  </r>
  <r>
    <s v="MOL LABS LTDA"/>
    <s v="Insumos ferreteria"/>
    <x v="3"/>
    <d v="2026-01-27T00:00:00"/>
    <s v="Orden de compra 260135"/>
    <x v="69"/>
    <s v="PAGADA"/>
    <d v="2026-01-30T00:00:00"/>
    <s v="CP"/>
  </r>
  <r>
    <s v="VALVULAS Y FERRETERIA DE COLOMBIA SAS"/>
    <s v="Repuestos Generales"/>
    <x v="4"/>
    <d v="2026-01-27T00:00:00"/>
    <s v="Orden de compra 260132"/>
    <x v="70"/>
    <s v="PAGADA"/>
    <d v="2026-01-30T00:00:00"/>
    <s v="CP"/>
  </r>
  <r>
    <s v="NOMINA "/>
    <s v="Nomina Operativa "/>
    <x v="0"/>
    <d v="2026-01-30T00:00:00"/>
    <s v="Segunda quincena enero 2026"/>
    <x v="71"/>
    <s v="PAGADA "/>
    <d v="2026-01-30T00:00:00"/>
    <s v="CP"/>
  </r>
  <r>
    <s v="GASTO DECAJA MENOR CAMPO "/>
    <d v="2026-01-01T00:00:00"/>
    <x v="13"/>
    <d v="2026-01-30T00:00:00"/>
    <s v="-"/>
    <x v="72"/>
    <s v="PAGADA"/>
    <d v="2026-01-30T00:00:00"/>
    <s v="CP"/>
  </r>
  <r>
    <s v="PROVISION RECURSOS HUMANOS"/>
    <d v="2026-01-01T00:00:00"/>
    <x v="14"/>
    <d v="2026-01-30T00:00:00"/>
    <s v="-"/>
    <x v="73"/>
    <s v="PAGADA"/>
    <d v="2026-01-30T00:00:00"/>
    <s v="CP"/>
  </r>
  <r>
    <s v="PROVISION PROPIEDAD PLANTA Y EQUIPO"/>
    <d v="2026-01-01T00:00:00"/>
    <x v="15"/>
    <d v="2026-01-30T00:00:00"/>
    <s v="-"/>
    <x v="74"/>
    <s v="PAGADA"/>
    <d v="2026-01-30T00:00:00"/>
    <s v="CP"/>
  </r>
  <r>
    <s v="WORLD OFFICE COLOMBIA S.A.S"/>
    <s v="Licencias Contables"/>
    <x v="16"/>
    <d v="2026-01-05T00:00:00"/>
    <s v="PZVP 327311"/>
    <x v="75"/>
    <s v="PAGADA"/>
    <d v="2026-01-05T00:00:00"/>
    <s v="GOP"/>
  </r>
  <r>
    <s v="TONNER E IMPRESORAS"/>
    <s v="Repuestos Generales"/>
    <x v="4"/>
    <d v="2026-01-06T00:00:00"/>
    <s v="Orden de  Compra  251238"/>
    <x v="76"/>
    <s v="PAGADA"/>
    <d v="2026-01-06T00:00:00"/>
    <s v="GOP"/>
  </r>
  <r>
    <s v="CLARO"/>
    <s v="Internet oficina"/>
    <x v="16"/>
    <d v="2025-12-01T00:00:00"/>
    <s v="3 - 292425073"/>
    <x v="77"/>
    <s v="PAGADA"/>
    <d v="2026-01-06T00:00:00"/>
    <s v="GOP"/>
  </r>
  <r>
    <s v="CLARO"/>
    <s v="Television campo"/>
    <x v="16"/>
    <d v="2025-12-01T00:00:00"/>
    <s v="R1130798491"/>
    <x v="78"/>
    <s v="PAGADA"/>
    <d v="2026-01-06T00:00:00"/>
    <s v="GOP"/>
  </r>
  <r>
    <s v="CLARO"/>
    <s v="Telefonia oficina"/>
    <x v="16"/>
    <d v="2025-12-04T00:00:00"/>
    <s v="3 - 292446175"/>
    <x v="79"/>
    <s v="PAGADA"/>
    <d v="2026-01-06T00:00:00"/>
    <s v="GOP"/>
  </r>
  <r>
    <s v="CLARO "/>
    <s v="Television campo"/>
    <x v="16"/>
    <d v="2026-01-01T00:00:00"/>
    <s v="R1130798498"/>
    <x v="80"/>
    <s v="PAGADA"/>
    <d v="2026-01-06T00:00:00"/>
    <s v="GOP"/>
  </r>
  <r>
    <s v="EDIFICIO TORRE PACIFIC"/>
    <s v="Administracion oficina"/>
    <x v="16"/>
    <d v="2025-12-01T00:00:00"/>
    <s v="TP 32512"/>
    <x v="81"/>
    <s v="PAGADA"/>
    <d v="2026-01-06T00:00:00"/>
    <s v="GOP"/>
  </r>
  <r>
    <s v="EDIFICIO TORRE PACIFIC"/>
    <s v="Energia oficina"/>
    <x v="16"/>
    <d v="2025-12-02T00:00:00"/>
    <s v="TP 325607"/>
    <x v="82"/>
    <s v="PAGADA"/>
    <d v="2026-01-06T00:00:00"/>
    <s v="GOP"/>
  </r>
  <r>
    <s v="Oscar Humberto Araque"/>
    <s v="Revisoria fiscal"/>
    <x v="17"/>
    <d v="2025-12-16T00:00:00"/>
    <s v="Cuenta de cobro 202512"/>
    <x v="83"/>
    <s v="PAGADA"/>
    <d v="2026-01-06T00:00:00"/>
    <s v="GOP"/>
  </r>
  <r>
    <s v="Santiago Morales"/>
    <s v="Legalizacion gastos"/>
    <x v="18"/>
    <d v="2025-12-11T00:00:00"/>
    <s v="Legalizacion"/>
    <x v="84"/>
    <s v="PAGADA"/>
    <d v="2026-01-06T00:00:00"/>
    <s v="GOP"/>
  </r>
  <r>
    <s v="Jeimy Constanza Rodriguez "/>
    <s v="Caja menor Oficina"/>
    <x v="16"/>
    <d v="2026-01-08T00:00:00"/>
    <m/>
    <x v="85"/>
    <s v="PAGADA "/>
    <d v="2026-01-08T00:00:00"/>
    <s v="GOP"/>
  </r>
  <r>
    <s v="Jeimy Lorena Alvarado"/>
    <s v="Consultoria en implementacion y diseno del sistema de gestion y salud en el trabajo"/>
    <x v="2"/>
    <d v="2025-12-23T00:00:00"/>
    <s v="Cuenta de cobro 012"/>
    <x v="86"/>
    <s v="PAGADA"/>
    <d v="2026-01-09T00:00:00"/>
    <s v="GOP"/>
  </r>
  <r>
    <s v="ITAU"/>
    <s v="Comision Fondo de Abandono"/>
    <x v="17"/>
    <d v="2025-12-03T00:00:00"/>
    <s v="N 195354"/>
    <x v="87"/>
    <s v="PAGADA"/>
    <d v="2026-01-13T00:00:00"/>
    <s v="GOP"/>
  </r>
  <r>
    <s v="NOMINA"/>
    <s v="Nomina Administrativa "/>
    <x v="0"/>
    <d v="2026-01-15T00:00:00"/>
    <s v="Primer quincena enero 2026"/>
    <x v="88"/>
    <s v="PAGADA"/>
    <d v="2026-01-15T00:00:00"/>
    <s v="GOP"/>
  </r>
  <r>
    <s v="EDIFICIO TORRE PACIFIC"/>
    <s v="Energia oficina"/>
    <x v="16"/>
    <d v="2026-01-08T00:00:00"/>
    <s v="TP 32752"/>
    <x v="89"/>
    <s v="PAGADA"/>
    <d v="2026-01-21T00:00:00"/>
    <s v="GOP"/>
  </r>
  <r>
    <s v="EDIFICIO TORRE PACIFIC"/>
    <s v="Administracion oficina"/>
    <x v="16"/>
    <d v="2026-01-13T00:00:00"/>
    <s v="TP 32804"/>
    <x v="90"/>
    <s v="PAGADA"/>
    <d v="2026-01-21T00:00:00"/>
    <s v="GOP"/>
  </r>
  <r>
    <s v="Nestor Alberto Prada"/>
    <s v="Honorarios contables"/>
    <x v="17"/>
    <d v="2025-12-23T00:00:00"/>
    <s v="NFE 92"/>
    <x v="91"/>
    <s v="PAGADA"/>
    <d v="2026-01-21T00:00:00"/>
    <s v="GOP"/>
  </r>
  <r>
    <s v="Oscar Humberto Araque"/>
    <s v="Honorarios contables"/>
    <x v="17"/>
    <d v="2026-01-21T00:00:00"/>
    <s v="Cuenta de cobro 202511"/>
    <x v="83"/>
    <s v="PAGADA"/>
    <d v="2026-01-28T00:00:00"/>
    <s v="GOP"/>
  </r>
  <r>
    <s v="NOMINA "/>
    <s v="Nomina Administrativa "/>
    <x v="0"/>
    <d v="2026-01-30T00:00:00"/>
    <s v="Segunda quincena enero 2026"/>
    <x v="92"/>
    <s v="PAGADA "/>
    <d v="2026-01-30T00:00:00"/>
    <s v="GOP"/>
  </r>
</pivotCacheRecords>
</file>

<file path=xl/pivotCache/pivotCacheRecords2.xml><?xml version="1.0" encoding="utf-8"?>
<pivotCacheRecords xmlns="http://schemas.openxmlformats.org/spreadsheetml/2006/main" xmlns:r="http://schemas.openxmlformats.org/officeDocument/2006/relationships" count="103">
  <r>
    <s v="AGOFER SAS"/>
    <s v="Insumos campo"/>
    <x v="0"/>
    <d v="2026-01-27T00:00:00"/>
    <s v="Orden de compra 260128"/>
    <n v="2023488"/>
    <s v="PAGADA"/>
    <d v="2026-02-03T00:00:00"/>
    <s v="CP"/>
  </r>
  <r>
    <s v="Alfonso Morales"/>
    <s v="Legalizacion gastos"/>
    <x v="1"/>
    <d v="2025-12-11T00:00:00"/>
    <s v="Legalizacion 03-02-2026"/>
    <n v="9486075"/>
    <s v="PAGADA"/>
    <d v="2026-02-03T00:00:00"/>
    <s v="CP"/>
  </r>
  <r>
    <s v="CALZADO LABORAL S.A.S"/>
    <s v="Dotacion"/>
    <x v="2"/>
    <d v="2026-01-29T00:00:00"/>
    <s v="Orden de compra 260137"/>
    <n v="928200"/>
    <s v="PAGADA"/>
    <d v="2026-02-03T00:00:00"/>
    <s v="CP"/>
  </r>
  <r>
    <s v="CAMPAMENTOS CASANARE"/>
    <m/>
    <x v="3"/>
    <d v="2025-11-20T00:00:00"/>
    <s v="A 3504"/>
    <n v="29987143"/>
    <s v="PAGADA"/>
    <d v="2026-02-03T00:00:00"/>
    <s v="CP"/>
  </r>
  <r>
    <s v="CHARWELD E.U"/>
    <s v="Renta cargadero DIC  -2025"/>
    <x v="3"/>
    <d v="2025-12-28T00:00:00"/>
    <s v="FEV 1267"/>
    <n v="9591400"/>
    <s v="PAGADA"/>
    <d v="2026-02-03T00:00:00"/>
    <s v="CP"/>
  </r>
  <r>
    <s v="CODIFER SAS"/>
    <s v="Insumos campo"/>
    <x v="0"/>
    <d v="2026-01-27T00:00:00"/>
    <s v="Orden de compra 260131"/>
    <n v="9157692"/>
    <s v="PAGADA"/>
    <d v="2026-02-03T00:00:00"/>
    <s v="CP"/>
  </r>
  <r>
    <s v="DON DOTACION"/>
    <s v="Dotacion"/>
    <x v="2"/>
    <d v="2026-02-02T00:00:00"/>
    <s v="Orden de compra 260201"/>
    <n v="577150"/>
    <s v="PAGADA"/>
    <d v="2026-02-03T00:00:00"/>
    <s v="CP"/>
  </r>
  <r>
    <s v="EMMANUEL DOTACIONES"/>
    <s v="Dotacion"/>
    <x v="2"/>
    <d v="2026-01-26T00:00:00"/>
    <s v="CT1 7699"/>
    <n v="1350000"/>
    <s v="PAGADA"/>
    <d v="2026-02-03T00:00:00"/>
    <s v="CP"/>
  </r>
  <r>
    <s v="FIGURADOS DEL CASANARE S.A.S"/>
    <s v="Insumos campo"/>
    <x v="4"/>
    <d v="2026-01-28T00:00:00"/>
    <s v="Orden de compra 260136"/>
    <n v="6849500"/>
    <s v="PAGADA"/>
    <d v="2026-02-03T00:00:00"/>
    <s v="CP"/>
  </r>
  <r>
    <s v="COOTRARIPORO LTDA"/>
    <s v="Transporte de material de cantera para el mantenimiento de vía san Luis del Ariporo - totumo, municipio de paz de Ariporo,"/>
    <x v="5"/>
    <d v="2025-12-19T00:00:00"/>
    <s v="FE 3657"/>
    <n v="14119344"/>
    <s v="PAGADA"/>
    <d v="2026-02-04T00:00:00"/>
    <s v="CP"/>
  </r>
  <r>
    <s v="ELOGY TECNOLOGIA ECOLOGICA S.A.S"/>
    <s v="Tratamiento y disposicion final de agua residuos "/>
    <x v="1"/>
    <d v="2025-12-23T00:00:00"/>
    <s v="ELEC 1081"/>
    <n v="1666690"/>
    <s v="PAGADA"/>
    <d v="2026-02-04T00:00:00"/>
    <s v="CP"/>
  </r>
  <r>
    <s v="INDETRO INGENIERIA LTDA"/>
    <s v="ALQUILER DE 4 TANQUES HORIZONTALES  500 BBL, DEL 01 DE NOVIEMBRE  AL 30 DE NOVIEMBRE 2025,  ALQUILER 2 PLATAFORMAS  01 DE NOVIEMBRE  AL 30 DE NOVIEMBRE 2025"/>
    <x v="3"/>
    <d v="2025-12-13T00:00:00"/>
    <s v="FV 7953"/>
    <n v="20706000"/>
    <s v="PAGADA"/>
    <d v="2026-02-04T00:00:00"/>
    <s v="CP"/>
  </r>
  <r>
    <s v="INGENIERIA SEGURIDAD SALUD AMBIENTE S.A.S"/>
    <s v="Trabajador autorizado"/>
    <x v="1"/>
    <d v="2025-12-15T00:00:00"/>
    <s v="FIIG 1630"/>
    <n v="4250000"/>
    <s v="PAGADA"/>
    <d v="2026-02-04T00:00:00"/>
    <s v="CP"/>
  </r>
  <r>
    <s v="Jose del Carmen Rojas"/>
    <s v="Insumos campo"/>
    <x v="4"/>
    <d v="2025-12-23T00:00:00"/>
    <s v="N 50159"/>
    <n v="1512500"/>
    <s v="PAGADA"/>
    <d v="2026-02-04T00:00:00"/>
    <s v="CP"/>
  </r>
  <r>
    <s v="Jose del Carmen Rojas"/>
    <s v="Insumos campo"/>
    <x v="4"/>
    <d v="2025-12-24T00:00:00"/>
    <s v="N 50166"/>
    <n v="50000"/>
    <s v="PAGADA"/>
    <d v="2026-02-04T00:00:00"/>
    <s v="CP"/>
  </r>
  <r>
    <s v="Jose James Correa"/>
    <s v="Alquiler vehiculo OCT -2025"/>
    <x v="3"/>
    <d v="2025-11-12T00:00:00"/>
    <s v="Cuenta de cobro 001 2025"/>
    <n v="4000000"/>
    <s v="PAGADA"/>
    <d v="2026-02-04T00:00:00"/>
    <s v="CP"/>
  </r>
  <r>
    <s v="Jose James Correa"/>
    <s v="Alquiler vehiculo NOV -2025"/>
    <x v="3"/>
    <d v="2026-01-06T00:00:00"/>
    <s v="Cuenta de cobro 002 2025"/>
    <n v="3600000"/>
    <s v="PAGADA"/>
    <d v="2026-02-04T00:00:00"/>
    <s v="CP"/>
  </r>
  <r>
    <s v="Lubdy londoño"/>
    <s v="Examenes medicos"/>
    <x v="2"/>
    <d v="2025-12-31T00:00:00"/>
    <s v="FELL 2097"/>
    <n v="639000"/>
    <s v="PAGADA"/>
    <d v="2026-02-04T00:00:00"/>
    <s v="CP"/>
  </r>
  <r>
    <s v="Mauricio Florez"/>
    <s v="Examen medico"/>
    <x v="2"/>
    <d v="2026-01-02T00:00:00"/>
    <s v="FAM 2849"/>
    <n v="1860000"/>
    <s v="PAGADA"/>
    <d v="2026-02-04T00:00:00"/>
    <s v="CP"/>
  </r>
  <r>
    <s v="MONTAJES Y ESTRUCTURAS IPA S.A.S"/>
    <s v="Alquiler carpas para Ojo de tigre "/>
    <x v="1"/>
    <d v="2025-12-11T00:00:00"/>
    <s v="FACT AB 22"/>
    <n v="3750000"/>
    <s v="PAGADA"/>
    <d v="2026-02-04T00:00:00"/>
    <s v="CP"/>
  </r>
  <r>
    <s v="PACIFIC ENERGY SOLUTIONS SAS"/>
    <s v="ALQUILER DE UNIDAD DE BOMBEO                                          - CASETA TIPO COMPANY                           - CASETA TIPO DORMITORIO                       -  GENERADOR DE 230W Y RENTA TANQUES DE 500 BBL  DEL 1 DE NOVIEMBRE  A L 30 DE NOVIEMBRE  2025"/>
    <x v="3"/>
    <d v="2025-12-04T00:00:00"/>
    <s v="PEFE 7"/>
    <n v="78897000"/>
    <s v="PAGADA"/>
    <d v="2026-02-04T00:00:00"/>
    <s v="CP"/>
  </r>
  <r>
    <s v="Sergio Morales"/>
    <s v="Legalizacion gastos"/>
    <x v="1"/>
    <d v="2025-12-10T00:00:00"/>
    <s v="Legalizacion 04-02-2026"/>
    <n v="20193994"/>
    <s v="PAGADA"/>
    <d v="2026-02-04T00:00:00"/>
    <s v="CP"/>
  </r>
  <r>
    <s v="TRANSPORTES ESPECIALES PACIFIC TOURS S.A.S"/>
    <s v="Servicio alquiler vehiculo"/>
    <x v="1"/>
    <d v="2025-12-11T00:00:00"/>
    <s v="PC 162"/>
    <n v="12178750"/>
    <s v="PAGADA"/>
    <d v="2026-02-04T00:00:00"/>
    <s v="CP"/>
  </r>
  <r>
    <s v="TRANSPORTES ESPECIALES PACIFIC TOURS S.A.S"/>
    <s v="Servicio alquiler vehiculo"/>
    <x v="1"/>
    <d v="2025-12-11T00:00:00"/>
    <s v="PC 160"/>
    <n v="12721750"/>
    <s v="PAGADA"/>
    <d v="2026-02-04T00:00:00"/>
    <s v="CP"/>
  </r>
  <r>
    <s v="VOLQUETAS Y TANQUES DE CARGA DE PAZ DE ARIPORO S.A.S"/>
    <s v="Transporte agua de produccion"/>
    <x v="3"/>
    <d v="2025-12-12T00:00:00"/>
    <s v="FT 47"/>
    <n v="15000000"/>
    <s v="PAGADA"/>
    <d v="2026-02-04T00:00:00"/>
    <s v="CP"/>
  </r>
  <r>
    <s v="Martha Duralva Riay"/>
    <s v="Desplazamiento grua"/>
    <x v="1"/>
    <d v="2026-02-04T00:00:00"/>
    <s v="Propuesta economica No 01032018-8"/>
    <n v="12800000"/>
    <s v="PAGADA"/>
    <d v="2026-02-05T00:00:00"/>
    <s v="CP"/>
  </r>
  <r>
    <s v="HIGIELECTRONIX S.A.S."/>
    <s v="Insumos campo - KIMBO"/>
    <x v="0"/>
    <d v="2026-02-03T00:00:00"/>
    <s v="Orden de servicio 260202"/>
    <n v="297500"/>
    <s v="PAGADA"/>
    <d v="2026-02-05T00:00:00"/>
    <s v="CP"/>
  </r>
  <r>
    <s v="Ivan Dario Villalba"/>
    <s v="Tuberia para linea de transporte de agua de produccion"/>
    <x v="6"/>
    <d v="2026-02-05T00:00:00"/>
    <s v="ORDEN DE COMPRA 26-02-07"/>
    <n v="210000000"/>
    <s v="PAGADA"/>
    <d v="2026-02-06T00:00:00"/>
    <s v="CP"/>
  </r>
  <r>
    <s v="INVERSIONES RIVEROS "/>
    <s v="ACPM"/>
    <x v="7"/>
    <d v="2026-02-04T00:00:00"/>
    <s v="CBPZ - 945"/>
    <n v="111868622"/>
    <s v="PAGADA"/>
    <d v="2026-02-06T00:00:00"/>
    <s v="CP"/>
  </r>
  <r>
    <s v="Anderson Daniel Balcazar"/>
    <s v="Insumos campo "/>
    <x v="0"/>
    <d v="2026-02-07T00:00:00"/>
    <s v="Orden de compra 260211"/>
    <n v="102000"/>
    <s v="PAGADA"/>
    <d v="2026-02-09T00:00:00"/>
    <s v="CP"/>
  </r>
  <r>
    <s v="MATERIALES ELECTRICOS V M S.A.S"/>
    <s v="Insumos campo"/>
    <x v="0"/>
    <d v="2026-02-05T00:00:00"/>
    <s v="Orden de compra 260209"/>
    <n v="1211994"/>
    <s v="PAGADA"/>
    <d v="2026-02-09T00:00:00"/>
    <s v="CP"/>
  </r>
  <r>
    <s v="MANGUERAS Y RACORES"/>
    <s v="Insumos campo"/>
    <x v="8"/>
    <d v="2026-02-05T00:00:00"/>
    <s v="Orden de compra 260206"/>
    <n v="3244991"/>
    <s v="PAGADA"/>
    <d v="2026-02-09T00:00:00"/>
    <s v="CP"/>
  </r>
  <r>
    <s v="FLUIMOS S.A.S"/>
    <s v="Cinta Medicion lufkin "/>
    <x v="0"/>
    <d v="2026-02-09T00:00:00"/>
    <s v="Orden de compra 260215"/>
    <n v="5961900"/>
    <s v="PAGADA"/>
    <d v="2026-02-09T00:00:00"/>
    <s v="CP"/>
  </r>
  <r>
    <s v="BOBINADOS DEL LLANO"/>
    <s v="Rebobinado electrobomba"/>
    <x v="0"/>
    <d v="2026-02-09T00:00:00"/>
    <s v="Orden de servicio 260214"/>
    <n v="600950"/>
    <s v="PAGADA"/>
    <d v="2026-02-09T00:00:00"/>
    <s v="CP"/>
  </r>
  <r>
    <s v="DON DOTACION"/>
    <s v="Dotacion"/>
    <x v="2"/>
    <d v="2026-01-26T00:00:00"/>
    <s v="Orden de compra 260210"/>
    <n v="587860"/>
    <s v="PAGADA"/>
    <d v="2026-02-09T00:00:00"/>
    <s v="CP"/>
  </r>
  <r>
    <s v="ABASTECEDORA DE ENVASES Y EMPAQUES DISTRIENVASES LTDA"/>
    <s v="Insumos campo"/>
    <x v="0"/>
    <d v="2026-02-09T00:00:00"/>
    <s v="Orden de compra 260216"/>
    <n v="780002"/>
    <s v="PAGADA"/>
    <d v="2026-02-09T00:00:00"/>
    <s v="CP"/>
  </r>
  <r>
    <s v="VITRO COMERCIAL S.A.S"/>
    <s v="Insumos campo"/>
    <x v="0"/>
    <d v="2026-02-09T00:00:00"/>
    <s v="Orden de compra 260213"/>
    <n v="202300"/>
    <s v="PAGADA"/>
    <d v="2026-02-09T00:00:00"/>
    <s v="CP"/>
  </r>
  <r>
    <s v="ACOPLES Y TRANSMISIONES S.A.S"/>
    <s v="Insumos campo"/>
    <x v="0"/>
    <d v="2026-02-09T00:00:00"/>
    <s v="Orden de compra 260217"/>
    <n v="511700"/>
    <s v="PAGADA"/>
    <d v="2026-02-09T00:00:00"/>
    <s v="CP"/>
  </r>
  <r>
    <s v="ENVIOIL ENVIROMENTAL OIL SERVICES S.A.S"/>
    <s v="Tratamiento y disposicion final de agua"/>
    <x v="1"/>
    <d v="2025-12-23T00:00:00"/>
    <s v="ENVI 93"/>
    <n v="30022966"/>
    <s v="PAGADA"/>
    <d v="2026-02-10T00:00:00"/>
    <s v="CP"/>
  </r>
  <r>
    <s v="ENVIOIL ENVIROMENTAL OIL SERVICES S.A.S"/>
    <s v="Tratamiento y disposicion final de agua"/>
    <x v="1"/>
    <d v="2025-12-23T00:00:00"/>
    <s v="ENVI 94"/>
    <n v="25097368"/>
    <s v="PAGADA"/>
    <d v="2026-02-10T00:00:00"/>
    <s v="CP"/>
  </r>
  <r>
    <s v="Santiago Morales"/>
    <s v="Legalizacion gastos"/>
    <x v="1"/>
    <d v="2026-02-06T00:00:00"/>
    <s v="Legalizacion 10-02-2026"/>
    <n v="2047319"/>
    <s v="PAGADA"/>
    <d v="2026-02-10T00:00:00"/>
    <s v="CP"/>
  </r>
  <r>
    <s v="TRANSPORTES MULTICARGA S.A.S"/>
    <s v="Transporte agua de produccion"/>
    <x v="9"/>
    <d v="2025-12-22T00:00:00"/>
    <s v="FETM 9382"/>
    <n v="83200000"/>
    <s v="PAGADA"/>
    <d v="2026-02-10T00:00:00"/>
    <s v="CP"/>
  </r>
  <r>
    <s v="TRANSPORTES MULTICARGA S.A.S"/>
    <s v="Transporte agua de produccion"/>
    <x v="9"/>
    <d v="2026-01-08T00:00:00"/>
    <s v="FETM 9428"/>
    <n v="70400000"/>
    <s v="PAGADA"/>
    <d v="2026-02-10T00:00:00"/>
    <s v="CP"/>
  </r>
  <r>
    <s v="STEEL INSPECTION SERVICES S.A.S"/>
    <s v="Inspeccion Tuberia"/>
    <x v="1"/>
    <d v="2026-02-05T00:00:00"/>
    <s v="Orden de compra 260205"/>
    <n v="5690000"/>
    <s v="PAGADA"/>
    <d v="2026-02-11T00:00:00"/>
    <s v="CP"/>
  </r>
  <r>
    <s v="FIGURADOS DEL CASANARE S.A.S"/>
    <s v="Insumos campo"/>
    <x v="4"/>
    <d v="2026-02-10T00:00:00"/>
    <s v="Orden de compra 260218"/>
    <n v="3872500"/>
    <s v="PAGADA"/>
    <d v="2026-02-11T00:00:00"/>
    <s v="CP"/>
  </r>
  <r>
    <s v="PERFORACIONES.MONTAJES.EQUIPOS Y SUMINISTROS SAS"/>
    <s v="Construccion de pozo profundo"/>
    <x v="1"/>
    <d v="2025-11-05T00:00:00"/>
    <s v="ELEC 121"/>
    <n v="35700000"/>
    <s v="PAGADA"/>
    <d v="2026-02-12T00:00:00"/>
    <s v="CP"/>
  </r>
  <r>
    <s v="TALECTRO INGENIERIA S.A.S"/>
    <s v="Insumos campo"/>
    <x v="8"/>
    <d v="2026-02-10T00:00:00"/>
    <s v="Orden de compra 260219"/>
    <n v="3176637"/>
    <s v="PAGADA"/>
    <d v="2026-02-12T00:00:00"/>
    <s v="CP"/>
  </r>
  <r>
    <s v="Andres Felipe Sanchez"/>
    <s v="Elaboracion de inventario forestal"/>
    <x v="1"/>
    <d v="2026-01-26T00:00:00"/>
    <s v="Cuenta de cobro 02"/>
    <n v="3078500"/>
    <s v="PAGADA"/>
    <d v="2026-02-12T00:00:00"/>
    <s v="CP"/>
  </r>
  <r>
    <s v="SERVICIOS DE INSPECCION Y MANTENIMIENTO EN INGENIERIAS SAS"/>
    <s v="AFORO TANQUE VERTICAL                            - AFORO EN TANQUES HORIZONTALES                                    -  CALIBRACIÓN DE TANQUE HORIZONTAL   Y VERTICAL  UBICADOS EN LA PLATAFORMA KIMBO BLOQUE JOROPO"/>
    <x v="1"/>
    <d v="2026-02-06T00:00:00"/>
    <s v="SIM 699"/>
    <n v="25379725"/>
    <s v="PAGADA"/>
    <d v="2026-02-12T00:00:00"/>
    <s v="CP"/>
  </r>
  <r>
    <s v="SEGURIDAD SOCIAL "/>
    <d v="2026-02-01T00:00:00"/>
    <x v="2"/>
    <d v="2026-02-13T00:00:00"/>
    <s v="-"/>
    <n v="123382600"/>
    <s v="PAGADA"/>
    <d v="2026-02-14T00:00:00"/>
    <s v="CP"/>
  </r>
  <r>
    <s v="Wilson Belisario Martinez"/>
    <s v="Trasnporte de carga"/>
    <x v="1"/>
    <d v="2026-02-11T00:00:00"/>
    <s v="FE 105"/>
    <n v="5000000"/>
    <s v="PAGADA"/>
    <d v="2026-02-14T00:00:00"/>
    <s v="CP"/>
  </r>
  <r>
    <s v="NOMINA "/>
    <s v="Nomina Operativa "/>
    <x v="2"/>
    <d v="2026-02-15T00:00:00"/>
    <s v="primera quincena febrero 2026"/>
    <n v="216522792"/>
    <s v="PAGADA"/>
    <d v="2026-02-15T00:00:00"/>
    <s v="CP"/>
  </r>
  <r>
    <s v="Claudia Yaneth Becerra"/>
    <s v="Transporte de carga"/>
    <x v="1"/>
    <d v="2026-02-10T00:00:00"/>
    <s v="Cuenta de Cobro 001"/>
    <n v="5000000"/>
    <s v="PAGADA"/>
    <d v="2026-02-17T00:00:00"/>
    <s v="CP"/>
  </r>
  <r>
    <s v="MATERIALES ELECTRICOS V M S.A.S"/>
    <s v="Insumos campo"/>
    <x v="0"/>
    <d v="2026-02-05T00:00:00"/>
    <s v="Orden de compra 260226"/>
    <n v="3522985"/>
    <s v="PAGADA"/>
    <d v="2026-02-17T00:00:00"/>
    <s v="CP"/>
  </r>
  <r>
    <s v="Hector Draulio Martinez"/>
    <s v="Movilizacion combustible"/>
    <x v="1"/>
    <d v="2026-02-09T00:00:00"/>
    <s v="Cuenta de cobro 58"/>
    <n v="5530000"/>
    <s v="PAGADA"/>
    <d v="2026-02-18T00:00:00"/>
    <s v="CP"/>
  </r>
  <r>
    <s v="CODIFER SAS"/>
    <s v="Insumos campo"/>
    <x v="0"/>
    <d v="2026-02-13T00:00:00"/>
    <s v="Orden de compra 260223"/>
    <n v="2447681"/>
    <s v="PAGADA"/>
    <d v="2026-02-18T00:00:00"/>
    <s v="CP"/>
  </r>
  <r>
    <s v="MUNDIAL DE TORNILLOS S.A"/>
    <s v="Insumos campo"/>
    <x v="4"/>
    <d v="2026-02-13T00:00:00"/>
    <s v="Orden de compra 260225"/>
    <n v="693715"/>
    <s v="PAGADA"/>
    <d v="2026-02-18T00:00:00"/>
    <s v="CP"/>
  </r>
  <r>
    <s v="Luz Jareth Rodriguez Rodriguez"/>
    <s v="Transporte de carga"/>
    <x v="1"/>
    <d v="2026-02-11T00:00:00"/>
    <s v="Cuenta de Cobro 001"/>
    <n v="1500000"/>
    <s v="PAGADA"/>
    <d v="2026-02-18T00:00:00"/>
    <s v="CP"/>
  </r>
  <r>
    <s v="Martha Duralva Riay"/>
    <s v="Transporte de grua"/>
    <x v="1"/>
    <d v="2026-02-12T00:00:00"/>
    <s v="Cuenta de Cobro 202501124"/>
    <n v="16600000"/>
    <s v="PAGADA"/>
    <d v="2026-02-18T00:00:00"/>
    <s v="CP"/>
  </r>
  <r>
    <s v="PETROREPUESTOS"/>
    <s v="Insumos campo"/>
    <x v="8"/>
    <d v="2025-12-17T00:00:00"/>
    <s v="FAC 3748"/>
    <n v="1229270"/>
    <s v="PAGADA"/>
    <d v="2026-02-20T00:00:00"/>
    <s v="CP"/>
  </r>
  <r>
    <s v="CAMPAMENTOS CASANARE"/>
    <m/>
    <x v="3"/>
    <d v="2026-01-15T00:00:00"/>
    <s v="A 3610"/>
    <n v="33201000"/>
    <s v="PAGADA"/>
    <d v="2026-02-20T00:00:00"/>
    <s v="CP"/>
  </r>
  <r>
    <s v="PETROREPUESTOS"/>
    <s v="Insumos campo"/>
    <x v="8"/>
    <d v="2026-01-16T00:00:00"/>
    <s v="FAC 3753"/>
    <n v="4298875"/>
    <s v="PAGADA"/>
    <d v="2026-02-20T00:00:00"/>
    <s v="CP"/>
  </r>
  <r>
    <s v="PETROREPUESTOS"/>
    <s v="Insumos campo"/>
    <x v="8"/>
    <d v="2026-01-19T00:00:00"/>
    <s v="FACT 3754"/>
    <n v="314160"/>
    <s v="PAGADA"/>
    <d v="2026-02-20T00:00:00"/>
    <s v="CP"/>
  </r>
  <r>
    <s v="PETROREPUESTOS"/>
    <s v="Insumos campo"/>
    <x v="8"/>
    <d v="2026-01-28T00:00:00"/>
    <s v="FAC 3757"/>
    <n v="3001085"/>
    <s v="PAGADA"/>
    <d v="2026-02-20T00:00:00"/>
    <s v="CP"/>
  </r>
  <r>
    <s v="MONTACARGAS NACIONALES S.A.S"/>
    <s v="Servicio alquiler mini cargador"/>
    <x v="3"/>
    <d v="2026-02-18T00:00:00"/>
    <s v="MNDL 3341"/>
    <n v="5355000"/>
    <s v="PAGADA"/>
    <d v="2026-02-20T00:00:00"/>
    <s v="CP"/>
  </r>
  <r>
    <s v="Martha Duralva Riay"/>
    <s v="Transporte de carga"/>
    <x v="1"/>
    <d v="2026-02-17T00:00:00"/>
    <s v="Cuenta de Cobro 20250129"/>
    <n v="1200000"/>
    <s v="PAGADA"/>
    <d v="2026-02-20T00:00:00"/>
    <s v="CP"/>
  </r>
  <r>
    <s v="CALZADO LABORAL S.A.S"/>
    <s v="Dotacion"/>
    <x v="2"/>
    <d v="2026-02-16T00:00:00"/>
    <s v="Orden de compra 260227"/>
    <n v="618800"/>
    <s v="PAGADA"/>
    <d v="2026-02-20T00:00:00"/>
    <s v="CP"/>
  </r>
  <r>
    <s v="CASA DE LA GUADAÑA PYP AGRO S.A.S"/>
    <s v="Insumos campo"/>
    <x v="0"/>
    <d v="2026-02-11T00:00:00"/>
    <s v="FE 18317"/>
    <n v="553000"/>
    <s v="PAGADA"/>
    <d v="2026-02-20T00:00:00"/>
    <s v="CP"/>
  </r>
  <r>
    <s v="DON DOTACION"/>
    <s v="Dotacion"/>
    <x v="2"/>
    <d v="2026-02-17T00:00:00"/>
    <s v="Orden de compra 260228"/>
    <n v="177310"/>
    <s v="PAGADA"/>
    <d v="2026-02-20T00:00:00"/>
    <s v="CP"/>
  </r>
  <r>
    <s v="MONCHE DIMAS PLAZAS"/>
    <s v="Pago avaluo comercial de servidumbre rural"/>
    <x v="1"/>
    <d v="2026-02-20T00:00:00"/>
    <s v="Cuenta de Cobro 001"/>
    <n v="4000000"/>
    <s v="PAGADA"/>
    <d v="2026-02-20T00:00:00"/>
    <s v="CP"/>
  </r>
  <r>
    <s v="EMPAQUETADURAS Y EMPAQUES S.A"/>
    <s v="Insumos campo"/>
    <x v="4"/>
    <d v="2026-02-23T00:00:00"/>
    <s v="Orden de compra 260235"/>
    <n v="2713200"/>
    <s v="PAGADA"/>
    <d v="2026-02-23T00:00:00"/>
    <s v="CP"/>
  </r>
  <r>
    <s v="PETROASES GLOBAL ENERGY SAS"/>
    <s v="Alquiler bomba triplex"/>
    <x v="3"/>
    <d v="2026-02-12T00:00:00"/>
    <s v="FEVT 112"/>
    <n v="14994000"/>
    <s v="PAGADA"/>
    <d v="2026-02-23T00:00:00"/>
    <s v="CP"/>
  </r>
  <r>
    <s v="COOPERATIVA MULTIACTIVA DE INVERSIONES INGENIERIA Y TRANSPORTES"/>
    <s v="Transporte material"/>
    <x v="1"/>
    <d v="2026-01-16T00:00:00"/>
    <s v="FET 245"/>
    <n v="6839856"/>
    <s v="PAGADA"/>
    <d v="2026-02-25T00:00:00"/>
    <s v="CP"/>
  </r>
  <r>
    <s v="CODIFER SAS"/>
    <s v="Insmos campo"/>
    <x v="0"/>
    <d v="2026-02-20T00:00:00"/>
    <s v="Orden de compra 260231"/>
    <n v="4046524"/>
    <s v="PAGADA"/>
    <d v="2026-02-25T00:00:00"/>
    <s v="CP"/>
  </r>
  <r>
    <s v="DON DOTACION"/>
    <s v="Dotacion"/>
    <x v="2"/>
    <d v="2026-02-24T00:00:00"/>
    <s v="Orden de compra 260237"/>
    <n v="202300"/>
    <s v="PAGADA"/>
    <d v="2026-02-25T00:00:00"/>
    <s v="CP"/>
  </r>
  <r>
    <s v="COLCHONES Y SOMIERES SUPER COMODOS S.A.S"/>
    <s v="Colchones para estación KIMBO"/>
    <x v="2"/>
    <d v="2026-02-20T00:00:00"/>
    <s v="Orden de compra 260232"/>
    <n v="375000"/>
    <s v="PAGADA"/>
    <d v="2026-02-25T00:00:00"/>
    <s v="CP"/>
  </r>
  <r>
    <s v="Martha Duralva Riay"/>
    <s v="Transporte de carga"/>
    <x v="1"/>
    <d v="2026-02-23T00:00:00"/>
    <s v="Cuenta de cobro 20250130"/>
    <n v="6000000"/>
    <s v="PAGADA"/>
    <d v="2026-02-25T00:00:00"/>
    <s v="CP"/>
  </r>
  <r>
    <s v="EMMANUEL DOTACIONES"/>
    <s v="Dotacion"/>
    <x v="2"/>
    <d v="2026-02-11T00:00:00"/>
    <s v="CT1 7881"/>
    <n v="2201650"/>
    <s v="PAGADA"/>
    <d v="2026-02-25T00:00:00"/>
    <s v="CP"/>
  </r>
  <r>
    <s v="EMMANUEL DOTACIONES"/>
    <s v="Dotacion"/>
    <x v="2"/>
    <d v="2026-02-14T00:00:00"/>
    <s v="CT1 7915"/>
    <n v="1574400"/>
    <s v="PAGADA"/>
    <d v="2026-02-25T00:00:00"/>
    <s v="CP"/>
  </r>
  <r>
    <s v="GASTOS DE CAJA MENOR CAMPO "/>
    <d v="2026-02-01T00:00:00"/>
    <x v="10"/>
    <d v="2026-02-28T00:00:00"/>
    <s v="-"/>
    <n v="84000000"/>
    <s v="PAGADA"/>
    <d v="2026-02-25T00:00:00"/>
    <s v="CP"/>
  </r>
  <r>
    <s v="COMUNIDADES "/>
    <d v="2026-02-01T00:00:00"/>
    <x v="11"/>
    <s v="-"/>
    <s v="-"/>
    <n v="50000000"/>
    <s v="PAGADA"/>
    <d v="2026-02-25T00:00:00"/>
    <s v="CP"/>
  </r>
  <r>
    <s v="NOMINA "/>
    <s v="Nomina Operativa "/>
    <x v="2"/>
    <d v="2026-02-28T00:00:00"/>
    <s v="Segunda quincena febrero 2026"/>
    <n v="223884720"/>
    <s v="PAGADA"/>
    <d v="2026-02-28T00:00:00"/>
    <s v="CP"/>
  </r>
  <r>
    <s v="PROVISION PROPIEDAD PLANTA Y EQUIPO"/>
    <d v="2026-02-01T00:00:00"/>
    <x v="12"/>
    <d v="2026-02-28T00:00:00"/>
    <s v="-"/>
    <n v="14402905.812256968"/>
    <s v="PAGADA"/>
    <d v="2026-01-30T00:00:00"/>
    <s v="CP"/>
  </r>
  <r>
    <s v="PROVISIONES RECURSOS HUMANOS "/>
    <d v="2026-02-01T00:00:00"/>
    <x v="13"/>
    <d v="2026-02-28T00:00:00"/>
    <s v="-"/>
    <n v="50105611"/>
    <s v="PAGADA"/>
    <d v="2026-02-28T00:00:00"/>
    <s v="CP"/>
  </r>
  <r>
    <s v="Carmenza Prieto"/>
    <s v="Honorarios contables"/>
    <x v="14"/>
    <d v="2025-12-29T00:00:00"/>
    <s v="Cuenta de cobro 016"/>
    <n v="2500000"/>
    <s v="PAGADA"/>
    <d v="2026-02-03T00:00:00"/>
    <s v="GOP"/>
  </r>
  <r>
    <s v="INVERSIONES CONTADORAS"/>
    <s v="Arrendamiento oficina Noviembre - Diciembre - enero "/>
    <x v="15"/>
    <d v="2025-12-01T00:00:00"/>
    <s v="FE 339"/>
    <n v="3748500"/>
    <s v="PAGADA"/>
    <d v="2026-02-04T00:00:00"/>
    <s v="GOP"/>
  </r>
  <r>
    <s v="INVERSIONES CONTADORAS"/>
    <s v="Arrendamiento oficina Noviembre - Diciembre - enero "/>
    <x v="15"/>
    <d v="2025-10-14T00:00:00"/>
    <s v="FE 320"/>
    <n v="3785500"/>
    <s v="PAGADA"/>
    <d v="2026-02-04T00:00:00"/>
    <s v="GOP"/>
  </r>
  <r>
    <s v="INVERSIONES CONTADORAS"/>
    <s v="Arrendamiento oficina Noviembre - Diciembre - enero "/>
    <x v="15"/>
    <d v="2026-01-07T00:00:00"/>
    <s v="FE 347"/>
    <n v="3748500"/>
    <s v="PAGADA"/>
    <d v="2026-02-04T00:00:00"/>
    <s v="GOP"/>
  </r>
  <r>
    <s v="Alberto Cubides "/>
    <s v="Arrendamiento oficina Noviembre - Diciembre - enero "/>
    <x v="15"/>
    <d v="2026-02-04T00:00:00"/>
    <s v="Cuenta de cobro 0022026"/>
    <n v="4500000"/>
    <s v="PAGADA"/>
    <d v="2026-02-04T00:00:00"/>
    <s v="GOP"/>
  </r>
  <r>
    <s v="ITAU"/>
    <s v="Comision Fondo de Abandono"/>
    <x v="14"/>
    <d v="2026-01-06T00:00:00"/>
    <s v="N 195934"/>
    <n v="3387930"/>
    <s v="PAGADA"/>
    <d v="2026-02-04T00:00:00"/>
    <s v="GOP"/>
  </r>
  <r>
    <s v="COMERCIALIZADORA OPCIONES TECNOLOGICAS S.A.S"/>
    <s v="Insumos oficina"/>
    <x v="2"/>
    <d v="2026-02-04T00:00:00"/>
    <s v="Orden de compra 260204"/>
    <n v="4486300"/>
    <s v="PAGADA"/>
    <d v="2026-02-05T00:00:00"/>
    <s v="GOP"/>
  </r>
  <r>
    <s v="Jeimy Constanza Rogriguez "/>
    <s v="Caja menor oficina "/>
    <x v="16"/>
    <d v="2026-02-05T00:00:00"/>
    <s v="Legalizacion 05-02-2026"/>
    <n v="1000000"/>
    <s v="PAGADA"/>
    <d v="2026-02-05T00:00:00"/>
    <s v="GOP"/>
  </r>
  <r>
    <s v="EDIFICIO TORRE PACIFIC"/>
    <s v="Administracion oficina"/>
    <x v="16"/>
    <d v="2026-02-02T00:00:00"/>
    <s v="TP 32923"/>
    <n v="1238571"/>
    <s v="PAGADA"/>
    <d v="2026-02-10T00:00:00"/>
    <s v="GOP"/>
  </r>
  <r>
    <s v="EDIFICIO TORRE PACIFIC"/>
    <s v="Energia oficina"/>
    <x v="16"/>
    <d v="2026-02-03T00:00:00"/>
    <s v="TP 33018"/>
    <n v="243900"/>
    <s v="PAGADA"/>
    <d v="2026-02-10T00:00:00"/>
    <s v="GOP"/>
  </r>
  <r>
    <s v="Santiago Morales"/>
    <s v="Legalizacion gastos"/>
    <x v="15"/>
    <d v="2026-01-13T00:00:00"/>
    <s v="Legalizacion 02-02-2026"/>
    <n v="1261519"/>
    <s v="PAGADA"/>
    <d v="2026-02-10T00:00:00"/>
    <s v="GOP"/>
  </r>
  <r>
    <s v="Nestor Alberto Prada"/>
    <s v="Honorarios contables"/>
    <x v="14"/>
    <d v="2026-02-10T00:00:00"/>
    <s v="NFE 100"/>
    <n v="7140000"/>
    <s v="PAGADA"/>
    <d v="2026-02-11T00:00:00"/>
    <s v="GOP"/>
  </r>
  <r>
    <s v="NOMINA "/>
    <s v="Nomina Administrativa"/>
    <x v="2"/>
    <d v="2026-02-15T00:00:00"/>
    <s v="primera quincena febrero 2026"/>
    <n v="17567775"/>
    <s v="PAGADA"/>
    <d v="2026-02-15T00:00:00"/>
    <s v="GOP"/>
  </r>
  <r>
    <s v="Carmenza Prieto"/>
    <s v="Honorarios contables"/>
    <x v="14"/>
    <d v="2026-02-11T00:00:00"/>
    <s v="Cuenta de cobro 0022026"/>
    <n v="2800000"/>
    <s v="PAGADA"/>
    <d v="2026-02-17T00:00:00"/>
    <s v="GOP"/>
  </r>
  <r>
    <s v="Carmenza Prieto"/>
    <s v="Honorarios contables"/>
    <x v="14"/>
    <d v="2026-02-11T00:00:00"/>
    <s v="Cuenta de Cobro 0012026"/>
    <n v="3500000"/>
    <s v="PAGADA"/>
    <d v="2026-02-17T00:00:00"/>
    <s v="GOP"/>
  </r>
  <r>
    <s v="Jeimy Lorena Alvarado"/>
    <s v="Consultoria en implementacion y diseno del sistema de gestion y salud en el trabajo"/>
    <x v="1"/>
    <d v="2026-02-01T00:00:00"/>
    <s v="Cuenta de Cobro 013"/>
    <n v="1680000"/>
    <s v="PAGADA"/>
    <d v="2026-02-18T00:00:00"/>
    <s v="GOP"/>
  </r>
  <r>
    <s v="WORLD OFFICE COLOMBIA SAS"/>
    <s v="Paquetes de contabilidad "/>
    <x v="16"/>
    <d v="2026-02-17T00:00:00"/>
    <s v="Proforma 1061040"/>
    <n v="900000"/>
    <s v="PAGADA"/>
    <d v="2026-02-25T00:00:00"/>
    <s v="GOP"/>
  </r>
  <r>
    <s v="Oscar Humberto Araque"/>
    <s v="Revision fiscal"/>
    <x v="14"/>
    <d v="2026-01-30T00:00:00"/>
    <s v="Cuenta de Cobro 202601"/>
    <n v="3300000"/>
    <s v="PAGADA"/>
    <d v="2026-02-25T00:00:00"/>
    <s v="GOP"/>
  </r>
  <r>
    <s v="NOMINA "/>
    <s v="Nomina Administrativa"/>
    <x v="2"/>
    <d v="2026-02-28T00:00:00"/>
    <s v="Segunda quincena febrero 2026"/>
    <n v="14719152"/>
    <s v="PAGADA"/>
    <d v="2026-02-28T00:00:00"/>
    <s v="GOP"/>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s v="AGOFER S.A.S"/>
    <s v="Insumos campo"/>
    <x v="0"/>
    <d v="2026-03-02T00:00:00"/>
    <s v="Orden de compra 260303"/>
    <n v="2143916"/>
    <s v="PAGADA"/>
    <d v="2026-03-02T00:00:00"/>
    <s v="CP"/>
  </r>
  <r>
    <s v="AGREGADOS PETREOS DEL ARIPORO"/>
    <s v="Transporte agua crudo"/>
    <x v="1"/>
    <d v="2026-01-10T00:00:00"/>
    <s v="FE 879"/>
    <n v="118400000"/>
    <s v="PAGADA"/>
    <d v="2026-03-02T00:00:00"/>
    <s v="CP"/>
  </r>
  <r>
    <s v="CODIFER SAS"/>
    <s v="Insumos campo"/>
    <x v="0"/>
    <d v="2026-03-02T00:00:00"/>
    <s v="Orden de compra 260304"/>
    <n v="481793"/>
    <s v="PAGADA"/>
    <d v="2026-03-02T00:00:00"/>
    <s v="CP"/>
  </r>
  <r>
    <s v="ESTANDAR OIL SAS"/>
    <s v="Alquiler frac tank (01 DIC al 31 de DIC 2025)"/>
    <x v="2"/>
    <d v="2026-01-08T00:00:00"/>
    <s v="STFE 30"/>
    <n v="28036400"/>
    <s v="PAGADA"/>
    <d v="2026-03-02T00:00:00"/>
    <s v="CP"/>
  </r>
  <r>
    <s v="ESTANDAR OIL SAS"/>
    <s v="Alquiler tanques horizontales  (01 DIC al 31 de DIC 2025)"/>
    <x v="2"/>
    <d v="2026-01-08T00:00:00"/>
    <s v="STFE 31"/>
    <n v="30987600"/>
    <s v="PAGADA"/>
    <d v="2026-03-02T00:00:00"/>
    <s v="CP"/>
  </r>
  <r>
    <s v="ESTANDAR OIL SAS"/>
    <s v="Alquiler tanques verticales  (01 DIC al 31 de DIC 2025)"/>
    <x v="2"/>
    <d v="2026-01-08T00:00:00"/>
    <s v="STFE 32"/>
    <n v="49063700"/>
    <s v="PAGADA"/>
    <d v="2026-03-02T00:00:00"/>
    <s v="CP"/>
  </r>
  <r>
    <s v="ESTANDAR OIL SAS"/>
    <s v="Alquiler gun barrel  (01 DIC al 31 de DIC 2025)"/>
    <x v="2"/>
    <d v="2026-01-08T00:00:00"/>
    <s v="STFE 33"/>
    <n v="19182800"/>
    <s v="PAGADA"/>
    <d v="2026-03-02T00:00:00"/>
    <s v="CP"/>
  </r>
  <r>
    <s v="FERRETERIA ELI"/>
    <s v="Insumos campo"/>
    <x v="3"/>
    <d v="2026-01-21T00:00:00"/>
    <s v="Orden de compra 260120"/>
    <n v="450000"/>
    <s v="PAGADA"/>
    <d v="2026-03-02T00:00:00"/>
    <s v="CP"/>
  </r>
  <r>
    <s v="FORPETROIL S.A.S"/>
    <s v=" RENTA TANQUE HORIZONTAL                                            - RENTA GENERADOR (01 de DIC al 31 DIC 2025)                                                          - CASETA DORMITORIO ( 01 de DIC al 31 DIC 2025)                                                           - CASETA COMPANY ( 01 de DIC al 31 DIC 2025)                                                   - UNIDAD DE BOMBEO ( 01 de DIC al 31 DIC 2025)"/>
    <x v="2"/>
    <d v="2026-01-21T00:00:00"/>
    <s v="FACT 7"/>
    <n v="81526900"/>
    <s v="PAGADA"/>
    <d v="2026-03-02T00:00:00"/>
    <s v="CP"/>
  </r>
  <r>
    <s v="INDETRO INGENIERIA LTDA"/>
    <s v="ALQUILER DE 4 TANQUES HORIZONTALES  500 BBL                  (DEL 01 DE DICIEMBRE  AL 31 DE DICIEMBRE  2025)                                                                 ALQUILER 2 PLATAFORMAS ( DEL 01 DE DICIEMBRE  AL 31 DE DICIEMBRE  2025)"/>
    <x v="2"/>
    <d v="2025-12-13T00:00:00"/>
    <s v="FV 7954"/>
    <n v="21396200"/>
    <s v="PAGADA"/>
    <d v="2026-03-02T00:00:00"/>
    <s v="CP"/>
  </r>
  <r>
    <s v="Jose del Carmen Rojas"/>
    <s v="Insumos campo"/>
    <x v="3"/>
    <d v="2026-01-15T00:00:00"/>
    <s v="N 50667"/>
    <n v="2470000"/>
    <s v="PAGADA"/>
    <d v="2026-03-02T00:00:00"/>
    <s v="CP"/>
  </r>
  <r>
    <s v="Jose del Carmen Rojas"/>
    <s v="Insumos campo"/>
    <x v="3"/>
    <d v="2026-01-15T00:00:00"/>
    <s v="N 50668"/>
    <n v="507000"/>
    <s v="PAGADA"/>
    <d v="2026-03-02T00:00:00"/>
    <s v="CP"/>
  </r>
  <r>
    <s v="Jose del Carmen Rojas"/>
    <s v="Insumos ferreteria"/>
    <x v="3"/>
    <d v="2026-01-27T00:00:00"/>
    <s v="N 51085"/>
    <n v="550500"/>
    <s v="PAGADA"/>
    <d v="2026-03-02T00:00:00"/>
    <s v="CP"/>
  </r>
  <r>
    <s v="Jose del Carmen Rojas"/>
    <s v="Insumos ferreteria"/>
    <x v="3"/>
    <d v="2026-01-23T00:00:00"/>
    <s v="N 50957"/>
    <n v="218000"/>
    <s v="PAGADA"/>
    <d v="2026-03-02T00:00:00"/>
    <s v="CP"/>
  </r>
  <r>
    <s v="Jose del Carmen Rojas"/>
    <s v="Insumos campo"/>
    <x v="3"/>
    <d v="2026-01-30T00:00:00"/>
    <s v="N 51200"/>
    <n v="424000"/>
    <s v="PAGADA"/>
    <d v="2026-03-02T00:00:00"/>
    <s v="CP"/>
  </r>
  <r>
    <s v="Jose del Carmen Rojas"/>
    <s v="Insumos campo"/>
    <x v="3"/>
    <d v="2026-02-06T00:00:00"/>
    <s v="N 51427"/>
    <n v="1822500"/>
    <s v="PAGADA"/>
    <d v="2026-03-02T00:00:00"/>
    <s v="CP"/>
  </r>
  <r>
    <s v="Jose del Carmen Rojas"/>
    <s v="Insumos campo"/>
    <x v="3"/>
    <d v="2026-02-09T00:00:00"/>
    <s v="N 51483"/>
    <n v="353500"/>
    <s v="PAGADA"/>
    <d v="2026-03-02T00:00:00"/>
    <s v="CP"/>
  </r>
  <r>
    <s v="Jose James Correa"/>
    <s v="Legalizacion gastos"/>
    <x v="4"/>
    <d v="2026-01-13T00:00:00"/>
    <s v="Legalizacion"/>
    <n v="1150000"/>
    <s v="PAGADA"/>
    <d v="2026-03-02T00:00:00"/>
    <s v="CP"/>
  </r>
  <r>
    <s v="Jose James Correa"/>
    <s v="Alquiler vehiculo - ENER - 2026"/>
    <x v="2"/>
    <d v="2026-02-02T00:00:00"/>
    <s v="Cuenta de cobro 004 2025"/>
    <n v="2533333"/>
    <s v="PAGADA"/>
    <d v="2026-03-02T00:00:00"/>
    <s v="CP"/>
  </r>
  <r>
    <s v="Jose James Correa"/>
    <s v="Legalizacion gastos"/>
    <x v="4"/>
    <d v="2026-02-05T00:00:00"/>
    <s v="Legalizacion"/>
    <n v="1071100"/>
    <s v="PAGADA"/>
    <d v="2026-03-02T00:00:00"/>
    <s v="CP"/>
  </r>
  <r>
    <s v="LIPESA COLOMBIA SAS "/>
    <s v="Quimica de produccion"/>
    <x v="5"/>
    <d v="2025-12-17T00:00:00"/>
    <s v="FAL 219398"/>
    <n v="96517633"/>
    <s v="PAGADA"/>
    <d v="2026-03-02T00:00:00"/>
    <s v="CP"/>
  </r>
  <r>
    <s v="MG PETROMIND LTDA"/>
    <s v="FABRICACIÓN DE UN TANQUE DE PRESIÓN CON CAPACIDAD DE 150 PSI EN LÁMINA DE 1/8&quot; DE 1,20 DE ALTURA POR 0,50 DIAMETRO                                      - SEÑALIZADO CON CONEXIÓN"/>
    <x v="4"/>
    <d v="2026-01-07T00:00:00"/>
    <s v="Orden de compra 260105"/>
    <n v="1666000"/>
    <s v="PAGADA"/>
    <d v="2026-03-02T00:00:00"/>
    <s v="CP"/>
  </r>
  <r>
    <s v="TRANSPORTES ESPECIALES PACIFIC TOURS S.A.S"/>
    <s v="Servicio de camioneta"/>
    <x v="4"/>
    <d v="2025-11-27T00:00:00"/>
    <s v="PC 156"/>
    <n v="12321750"/>
    <s v="PAGADA"/>
    <d v="2026-03-02T00:00:00"/>
    <s v="CP"/>
  </r>
  <r>
    <s v="TRANSPORTES ESPECIALES PACIFIC TOURS S.A.S"/>
    <s v="Transporte personal"/>
    <x v="4"/>
    <d v="2025-12-11T00:00:00"/>
    <s v="PC 161"/>
    <n v="12357500"/>
    <s v="PAGADA"/>
    <d v="2026-03-02T00:00:00"/>
    <s v="CP"/>
  </r>
  <r>
    <s v="AQUALIM LABORATORIO Y CONSULTORIAS S.A.S"/>
    <s v="SERVICIO DE MUESTREO Y ANÁLISIS DE AGUA DE PRODUCCIÓN"/>
    <x v="4"/>
    <d v="2026-02-24T00:00:00"/>
    <s v="Orden de servicio 260121"/>
    <n v="480251"/>
    <s v="PAGADA"/>
    <d v="2026-03-02T00:00:00"/>
    <s v="CP"/>
  </r>
  <r>
    <s v="CLIMATIZACION Y CONTROL S.A.S"/>
    <s v="Mantenimiento preventivo "/>
    <x v="6"/>
    <d v="2026-02-25T00:00:00"/>
    <s v="FVE 1153"/>
    <n v="368900"/>
    <s v="PAGADA"/>
    <d v="2026-03-02T00:00:00"/>
    <s v="CP"/>
  </r>
  <r>
    <s v="J-ROHI INGENIERIA S.A.S"/>
    <s v="Mantenimiento correctivo"/>
    <x v="4"/>
    <d v="2026-02-27T00:00:00"/>
    <s v="Orden de compra 260238"/>
    <n v="2380000"/>
    <s v="PAGADA"/>
    <d v="2026-03-02T00:00:00"/>
    <s v="CP"/>
  </r>
  <r>
    <s v="John Alexander Hoyos"/>
    <s v="Dias de parqueo tanques (20 de febrero al 20 de abril 2026)"/>
    <x v="2"/>
    <d v="2026-02-27T00:00:00"/>
    <s v="Orden de servicios 260239"/>
    <n v="900000"/>
    <s v="PAGADA"/>
    <d v="2026-03-02T00:00:00"/>
    <s v="CP"/>
  </r>
  <r>
    <s v="PACIFIC ENERGY SOLUTIONS SAS"/>
    <s v="ALQUILER DE UNIDAD DE BOMBEO                                        - CASETA TIPO COMPANY                                      - CASETA TIPO DORMITORIO                                                - RENTA  GENERADOR                                                   - RENTA TANQUES HORIZONTALES DEL 1 AL 31 DE DICIEMBRE 2025"/>
    <x v="2"/>
    <d v="2026-01-07T00:00:00"/>
    <s v="PEFE 8"/>
    <n v="81526900"/>
    <s v="PAGADA"/>
    <d v="2026-03-03T00:00:00"/>
    <s v="CP"/>
  </r>
  <r>
    <s v="INVERSIONES RIVEROS"/>
    <s v="ACPM"/>
    <x v="7"/>
    <d v="2026-03-05T00:00:00"/>
    <s v="CBPZ 964"/>
    <n v="111452000"/>
    <s v="PAGADA"/>
    <d v="2026-03-06T00:00:00"/>
    <s v="CP"/>
  </r>
  <r>
    <s v="CARGO ZONE ETC S.A.S"/>
    <s v="Flete (Transporte)"/>
    <x v="4"/>
    <d v="2026-03-09T00:00:00"/>
    <s v="Z 1676"/>
    <n v="22773200"/>
    <s v="PAGADA"/>
    <d v="2026-03-08T00:00:00"/>
    <s v="CP"/>
  </r>
  <r>
    <s v="FERRETERIA INDUSTRIAL SAS"/>
    <s v="Insumos campo"/>
    <x v="0"/>
    <d v="2026-03-05T00:00:00"/>
    <s v="Orden de compra 260306"/>
    <n v="9678917"/>
    <s v="PAGADA"/>
    <d v="2026-03-10T00:00:00"/>
    <s v="CP"/>
  </r>
  <r>
    <s v="AQUA INTEGRAL SAS"/>
    <s v="Insumos campo"/>
    <x v="5"/>
    <d v="2026-03-05T00:00:00"/>
    <s v="Orden de compra 260307"/>
    <n v="323680"/>
    <s v="PAGADA"/>
    <d v="2026-03-10T00:00:00"/>
    <s v="CP"/>
  </r>
  <r>
    <s v="DISTRIBUIDORA ELECTRICA SANCHEZ SARMIENTO Y CIA SAS"/>
    <s v="Sensor de presion"/>
    <x v="8"/>
    <d v="2026-03-05T00:00:00"/>
    <s v="Orden de compra 260308"/>
    <n v="234000"/>
    <s v="PAGADA"/>
    <d v="2026-03-10T00:00:00"/>
    <s v="CP"/>
  </r>
  <r>
    <s v="DON DOTACION"/>
    <s v="Dotacion"/>
    <x v="9"/>
    <d v="2026-03-09T00:00:00"/>
    <s v="Orden de compra 260309"/>
    <n v="321300"/>
    <s v="PAGADA"/>
    <d v="2026-03-10T00:00:00"/>
    <s v="CP"/>
  </r>
  <r>
    <s v="EMMANUEL DOTACIONES"/>
    <s v="Dotacion"/>
    <x v="9"/>
    <d v="2026-02-16T00:00:00"/>
    <s v="RMY 1428"/>
    <n v="240100"/>
    <s v="PAGADA"/>
    <d v="2026-03-11T00:00:00"/>
    <s v="CP"/>
  </r>
  <r>
    <s v="EMMANUEL DOTACIONES"/>
    <s v="Dotacion"/>
    <x v="9"/>
    <d v="2026-03-07T00:00:00"/>
    <s v="CT1 8106"/>
    <n v="836229"/>
    <s v="PAGADA"/>
    <d v="2026-03-11T00:00:00"/>
    <s v="CP"/>
  </r>
  <r>
    <s v="Alfonso Morales"/>
    <s v="Legalizacion gastos"/>
    <x v="4"/>
    <d v="2026-02-17T00:00:00"/>
    <s v="Legalizacion"/>
    <n v="1000000"/>
    <s v="PAGADA"/>
    <d v="2026-03-13T00:00:00"/>
    <s v="CP"/>
  </r>
  <r>
    <s v="COOTRARIPORO LTDA"/>
    <s v="Transporte material"/>
    <x v="10"/>
    <d v="2026-02-12T00:00:00"/>
    <s v="FE 3904"/>
    <n v="1738080"/>
    <s v="PAGADA"/>
    <d v="2026-03-13T00:00:00"/>
    <s v="CP"/>
  </r>
  <r>
    <s v="INVERSIONES CONTADORAS"/>
    <s v="Arrendamiento oficina - marzo 2026"/>
    <x v="11"/>
    <d v="2026-03-03T00:00:00"/>
    <s v="FE 363"/>
    <n v="3748500"/>
    <s v="PAGADA"/>
    <d v="2026-03-13T00:00:00"/>
    <s v="CP"/>
  </r>
  <r>
    <s v="INVERSIONES CONTADORAS"/>
    <s v="Arrendamiento oficina - febrero 2026"/>
    <x v="11"/>
    <d v="2026-02-03T00:00:00"/>
    <s v="FE 353"/>
    <n v="3748500"/>
    <s v="PAGADA"/>
    <d v="2026-03-13T00:00:00"/>
    <s v="CP"/>
  </r>
  <r>
    <s v="Luis Fernando Perez Tabaco"/>
    <s v="Transporte carga"/>
    <x v="4"/>
    <d v="2026-02-16T00:00:00"/>
    <s v="FE 228"/>
    <n v="1400000"/>
    <s v="PAGADA"/>
    <d v="2026-03-13T00:00:00"/>
    <s v="CP"/>
  </r>
  <r>
    <s v="Marcelo Rojas Ballesteros"/>
    <s v="Consultoria juridica"/>
    <x v="12"/>
    <d v="2026-02-17T00:00:00"/>
    <s v="Cuenta de Cobro 010"/>
    <n v="4000000"/>
    <s v="PAGADA"/>
    <d v="2026-03-13T00:00:00"/>
    <s v="CP"/>
  </r>
  <r>
    <s v="Mauricio Florez"/>
    <s v="Examen medico"/>
    <x v="9"/>
    <d v="2026-02-03T00:00:00"/>
    <s v="FAM 2896"/>
    <n v="868000"/>
    <s v="PAGADA"/>
    <d v="2026-03-13T00:00:00"/>
    <s v="CP"/>
  </r>
  <r>
    <s v="OPTIMUSTRANS SERVICES S.A.S"/>
    <s v="Transporte equipos"/>
    <x v="2"/>
    <d v="2026-01-22T00:00:00"/>
    <s v="N 9223"/>
    <n v="9616000"/>
    <s v="PAGADA"/>
    <d v="2026-03-13T00:00:00"/>
    <s v="CP"/>
  </r>
  <r>
    <s v="TRANSPORTES ESPECIALES PACIFIC TOURS S.A.S"/>
    <s v="Servicio transporte personal"/>
    <x v="4"/>
    <d v="2026-02-05T00:00:00"/>
    <s v="PC 199"/>
    <n v="400000"/>
    <s v="PAGADA"/>
    <d v="2026-03-13T00:00:00"/>
    <s v="CP"/>
  </r>
  <r>
    <s v="TRANSPORTES MULTICARGA S.A.S"/>
    <s v="Transporte agua"/>
    <x v="1"/>
    <d v="2026-01-20T00:00:00"/>
    <s v="FETM 9476"/>
    <n v="56000000"/>
    <s v="PAGADA"/>
    <d v="2026-03-13T00:00:00"/>
    <s v="CP"/>
  </r>
  <r>
    <s v="TRANSPORTES Y SERVICIOS GCC SAS"/>
    <s v="Transporte de material mantenimiento vía, el día 18 diciembre de 2025."/>
    <x v="10"/>
    <d v="2026-01-29T00:00:00"/>
    <s v="ELEC 11302"/>
    <n v="1727856"/>
    <s v="PAGADA"/>
    <d v="2026-03-13T00:00:00"/>
    <s v="CP"/>
  </r>
  <r>
    <s v="TRITURADOS GREM S.A.S"/>
    <s v="Mantenimiento via"/>
    <x v="10"/>
    <d v="2026-01-23T00:00:00"/>
    <s v="GREM 39"/>
    <n v="7282800"/>
    <s v="PAGADA"/>
    <d v="2026-03-13T00:00:00"/>
    <s v="CP"/>
  </r>
  <r>
    <s v="TRITURADOS GREM S.A.S"/>
    <s v="Mantenimiento via"/>
    <x v="10"/>
    <d v="2026-01-23T00:00:00"/>
    <s v="GREM 38"/>
    <n v="3541440"/>
    <s v="PAGADA"/>
    <d v="2026-03-13T00:00:00"/>
    <s v="CP"/>
  </r>
  <r>
    <s v="TRITURADOS GREM S.A.S"/>
    <s v="Mantenimiento via"/>
    <x v="10"/>
    <d v="2026-01-23T00:00:00"/>
    <s v="GREM 37"/>
    <n v="2656080"/>
    <s v="PAGADA"/>
    <d v="2026-03-13T00:00:00"/>
    <s v="CP"/>
  </r>
  <r>
    <s v="TRITURADOS GREM S.A.S"/>
    <s v="Mantenimiento via"/>
    <x v="10"/>
    <d v="2026-01-23T00:00:00"/>
    <s v="GREM 33"/>
    <n v="2213400"/>
    <s v="PAGADA"/>
    <d v="2026-03-13T00:00:00"/>
    <s v="CP"/>
  </r>
  <r>
    <s v="TRITURADOS GREM S.A.S"/>
    <s v="Mantenimiento via"/>
    <x v="10"/>
    <d v="2026-01-23T00:00:00"/>
    <s v="GREM 36"/>
    <n v="1770720"/>
    <s v="PAGADA"/>
    <d v="2026-03-13T00:00:00"/>
    <s v="CP"/>
  </r>
  <r>
    <s v="TRITURADOS GREM S.A.S"/>
    <s v="Mantenimiento via"/>
    <x v="10"/>
    <d v="2026-01-23T00:00:00"/>
    <s v="GREM 34"/>
    <n v="885360"/>
    <s v="PAGADA"/>
    <d v="2026-03-13T00:00:00"/>
    <s v="CP"/>
  </r>
  <r>
    <s v="WURTH COLOMBIA S.A"/>
    <s v="Insumos campo"/>
    <x v="3"/>
    <d v="2026-02-27T00:00:00"/>
    <s v="FACT WF 1250471"/>
    <n v="188996"/>
    <s v="PAGADA"/>
    <d v="2026-03-13T00:00:00"/>
    <s v="CP"/>
  </r>
  <r>
    <s v="ELECTROMANFER LTDA"/>
    <s v="Insumos campo"/>
    <x v="3"/>
    <d v="2026-03-11T00:00:00"/>
    <s v="Orden de compra 260313"/>
    <n v="1485120"/>
    <s v="PAGADA"/>
    <d v="2026-03-13T00:00:00"/>
    <s v="CP"/>
  </r>
  <r>
    <s v="ECOSEG COLOMBIA SAS"/>
    <s v="Insumos campo"/>
    <x v="13"/>
    <d v="2026-03-11T00:00:00"/>
    <s v="Orden de compra 260312"/>
    <n v="595000"/>
    <s v="PAGADA"/>
    <d v="2026-03-13T00:00:00"/>
    <s v="CP"/>
  </r>
  <r>
    <s v="CALZADO LABORAL S.A.S"/>
    <s v="Dotacion"/>
    <x v="9"/>
    <d v="2026-02-16T00:00:00"/>
    <s v="Orden de compra 260313"/>
    <n v="1125740"/>
    <s v="PAGADA"/>
    <d v="2026-03-13T00:00:00"/>
    <s v="CP"/>
  </r>
  <r>
    <s v="NOMINA "/>
    <s v="Nomina Operativa"/>
    <x v="9"/>
    <d v="2026-03-15T00:00:00"/>
    <s v="Primera quincena marzo 2026"/>
    <n v="209605754"/>
    <s v="PAGADA"/>
    <d v="2026-03-15T00:00:00"/>
    <s v="CP"/>
  </r>
  <r>
    <s v="MANGUERAS Y RACORES"/>
    <s v="Insumos campo"/>
    <x v="8"/>
    <d v="2026-03-16T00:00:00"/>
    <s v="Orden de compra 260318"/>
    <n v="1149998"/>
    <s v="PAGADA"/>
    <d v="2026-03-18T00:00:00"/>
    <s v="CP"/>
  </r>
  <r>
    <s v="CODIFER SAS"/>
    <s v="Insumos campo"/>
    <x v="0"/>
    <d v="2026-03-17T00:00:00"/>
    <s v="Orden de compra 260325"/>
    <n v="354979"/>
    <s v="PAGADA"/>
    <d v="2026-03-18T00:00:00"/>
    <s v="CP"/>
  </r>
  <r>
    <s v="DON DOTACION"/>
    <s v="Dotacion"/>
    <x v="9"/>
    <d v="2026-03-17T00:00:00"/>
    <s v="Orden de compra 260324"/>
    <n v="2561594"/>
    <s v="PAGADA"/>
    <d v="2026-03-18T00:00:00"/>
    <s v="CP"/>
  </r>
  <r>
    <s v="IGNACIO GOMEZ IHM S.A.S"/>
    <s v="Insumos campo"/>
    <x v="8"/>
    <d v="2026-03-17T00:00:00"/>
    <s v="Orden de compra 260323"/>
    <n v="1413125"/>
    <s v="PAGADA"/>
    <d v="2026-03-18T00:00:00"/>
    <s v="CP"/>
  </r>
  <r>
    <s v="COMPANY JBM S.A.S"/>
    <s v="Insumos campo"/>
    <x v="9"/>
    <d v="2026-03-14T00:00:00"/>
    <s v="Orden de compra 260317"/>
    <n v="1713600"/>
    <s v="PAGADA"/>
    <d v="2026-03-18T00:00:00"/>
    <s v="CP"/>
  </r>
  <r>
    <s v="SERVICIO GEOLOGICO COLOMBIANO"/>
    <s v="Pago EPIS Entrega de paz y salvo Perofracion KIMBO y  CALICHE"/>
    <x v="4"/>
    <d v="2026-03-18T00:00:00"/>
    <s v="SGFE 1550"/>
    <n v="31584074"/>
    <s v="PAGADA"/>
    <d v="2026-03-18T00:00:00"/>
    <s v="CP"/>
  </r>
  <r>
    <s v="Martha Duralva Riay"/>
    <s v="Transporte tanque de pozo ODT a KIMBO "/>
    <x v="4"/>
    <d v="2026-03-10T00:00:00"/>
    <s v="Cuenta de Cobro 20250131"/>
    <n v="3600000"/>
    <s v="PAGADA"/>
    <d v="2026-03-20T00:00:00"/>
    <s v="CP"/>
  </r>
  <r>
    <s v="Sergio Morales"/>
    <s v="Legalizacion gastos"/>
    <x v="4"/>
    <d v="2026-03-12T00:00:00"/>
    <s v="Legalizacion"/>
    <n v="14109711"/>
    <s v="PAGADA"/>
    <d v="2026-03-20T00:00:00"/>
    <s v="CP"/>
  </r>
  <r>
    <s v="VITRO COMERCIAL S.A.S"/>
    <s v="Insumos campo"/>
    <x v="0"/>
    <d v="2026-03-16T00:00:00"/>
    <s v="Orden de compra 260320"/>
    <n v="218960"/>
    <s v="PAGADA"/>
    <d v="2026-03-20T00:00:00"/>
    <s v="CP"/>
  </r>
  <r>
    <s v="WURTH COLOMBIA S.A"/>
    <s v="Insumos campo"/>
    <x v="3"/>
    <d v="2026-03-17T00:00:00"/>
    <s v="Orden de compra 260321"/>
    <n v="1118600"/>
    <s v="PAGADA"/>
    <d v="2026-03-20T00:00:00"/>
    <s v="CP"/>
  </r>
  <r>
    <s v="DISTRIBORDADOS J &amp; A SAS"/>
    <s v="Bordado bolsillos"/>
    <x v="9"/>
    <d v="2026-03-12T00:00:00"/>
    <s v="Orden de compra 260314"/>
    <n v="333200"/>
    <s v="PAGADA"/>
    <d v="2026-03-20T00:00:00"/>
    <s v="CP"/>
  </r>
  <r>
    <s v="ACEROS BONILLA S.A.S"/>
    <s v="Insumos campo"/>
    <x v="3"/>
    <d v="2026-03-19T00:00:00"/>
    <s v="Orden de compra 260329"/>
    <n v="5348000"/>
    <s v="PAGADA"/>
    <d v="2026-03-20T00:00:00"/>
    <s v="CP"/>
  </r>
  <r>
    <s v="AGOFER S.A.S"/>
    <s v="Insumos campo"/>
    <x v="0"/>
    <d v="2026-03-19T00:00:00"/>
    <s v="Orden de compra 260328"/>
    <n v="5689486"/>
    <s v="PAGADA"/>
    <d v="2026-03-20T00:00:00"/>
    <s v="CP"/>
  </r>
  <r>
    <s v="FIGURADOS DEL CASANARE S.A.S"/>
    <s v="Insumos campo"/>
    <x v="3"/>
    <d v="2026-03-19T00:00:00"/>
    <s v="Orden de compra 260327"/>
    <n v="2430000"/>
    <s v="PAGADA"/>
    <d v="2026-03-20T00:00:00"/>
    <s v="CP"/>
  </r>
  <r>
    <s v="MEGADOTACIONES S.A.S"/>
    <s v="Insumos campo"/>
    <x v="9"/>
    <d v="2026-03-16T00:00:00"/>
    <s v="Orden de compra 260319"/>
    <n v="1620002"/>
    <s v="PAGADA"/>
    <d v="2026-03-20T00:00:00"/>
    <s v="CP"/>
  </r>
  <r>
    <s v="Alfonso Morales"/>
    <s v="Legalizacion gastos"/>
    <x v="4"/>
    <d v="2025-12-11T00:00:00"/>
    <s v="Legalizacion"/>
    <n v="619691"/>
    <s v="PAGADA"/>
    <d v="2026-03-25T00:00:00"/>
    <s v="CP"/>
  </r>
  <r>
    <s v="Jorge Orlando Alvarez"/>
    <s v="Mantenimiento y recarga extintor"/>
    <x v="4"/>
    <d v="2026-02-14T00:00:00"/>
    <s v="FE 118"/>
    <n v="1795000"/>
    <s v="PAGADA"/>
    <d v="2026-03-25T00:00:00"/>
    <s v="CP"/>
  </r>
  <r>
    <s v="AQUA INTEGRAL SAS"/>
    <s v="Insumos campo"/>
    <x v="5"/>
    <d v="2026-03-13T00:00:00"/>
    <s v="Orden de compra 260315"/>
    <n v="375445"/>
    <s v="PAGADA"/>
    <d v="2026-03-25T00:00:00"/>
    <s v="CP"/>
  </r>
  <r>
    <s v="PROMETALES M.I S.A.S"/>
    <s v="Tuberia para linea de transporte de agua de produccion"/>
    <x v="14"/>
    <d v="2026-03-20T00:00:00"/>
    <s v="BTA 2496"/>
    <n v="120487500"/>
    <s v="PAGADA"/>
    <d v="2026-03-25T00:00:00"/>
    <s v="CP"/>
  </r>
  <r>
    <s v="MATERIALES ELECTRICOS V M S.A.S"/>
    <s v="Insumos campo"/>
    <x v="3"/>
    <d v="2026-03-25T00:00:00"/>
    <s v="Orden de compra 260335"/>
    <n v="154599"/>
    <s v="PAGADA"/>
    <d v="2026-03-25T00:00:00"/>
    <s v="CP"/>
  </r>
  <r>
    <s v="ADBAQUIM S.A.S"/>
    <s v="Insumos campo"/>
    <x v="5"/>
    <d v="2026-03-25T00:00:00"/>
    <s v="Orden de compra 260334"/>
    <n v="327250"/>
    <s v="PAGADA"/>
    <d v="2026-03-25T00:00:00"/>
    <s v="CP"/>
  </r>
  <r>
    <s v="Carlos Julio Gaitan"/>
    <s v="Construccion muro"/>
    <x v="4"/>
    <d v="2026-03-24T00:00:00"/>
    <s v="FVE 18"/>
    <n v="12550859"/>
    <s v="PAGADA"/>
    <d v="2026-03-25T00:00:00"/>
    <s v="CP"/>
  </r>
  <r>
    <s v="AGREGADOS PETREOS DEL ARIPORO"/>
    <s v="Transporte material"/>
    <x v="10"/>
    <d v="2026-01-15T00:00:00"/>
    <s v="FE 880"/>
    <n v="18162936"/>
    <s v="PAGADA"/>
    <d v="2026-03-26T00:00:00"/>
    <s v="CP"/>
  </r>
  <r>
    <s v="CAMPAMENTOS CASANARE"/>
    <m/>
    <x v="2"/>
    <d v="2026-02-14T00:00:00"/>
    <s v="A 3653"/>
    <n v="34143837"/>
    <s v="PAGADA"/>
    <d v="2026-03-26T00:00:00"/>
    <s v="CP"/>
  </r>
  <r>
    <s v="CHARWELD E.U"/>
    <s v="Alquiler cargadero ENE 2026"/>
    <x v="2"/>
    <d v="2026-02-03T00:00:00"/>
    <s v="FEV 1269"/>
    <n v="9591400"/>
    <s v="PAGADA"/>
    <d v="2026-03-26T00:00:00"/>
    <s v="CP"/>
  </r>
  <r>
    <s v="Cipriana Fernandez de Garcia"/>
    <s v="Alimentacion personal de campo"/>
    <x v="4"/>
    <d v="2026-02-16T00:00:00"/>
    <s v="Cuenta de Cobro 008"/>
    <n v="6480000"/>
    <s v="PAGADA"/>
    <d v="2026-03-26T00:00:00"/>
    <s v="CP"/>
  </r>
  <r>
    <s v="Diego Alejandro Camacho"/>
    <s v="Transporte montacarga"/>
    <x v="4"/>
    <d v="2026-02-20T00:00:00"/>
    <s v="Cuenta de Cobro 0026"/>
    <n v="5000000"/>
    <s v="PAGADA"/>
    <d v="2026-03-26T00:00:00"/>
    <s v="CP"/>
  </r>
  <r>
    <s v="Elbis Acosta Prada"/>
    <s v="Alquiler vehiculo"/>
    <x v="2"/>
    <d v="2026-02-18T00:00:00"/>
    <s v="EAP 20"/>
    <n v="12000000"/>
    <s v="PAGADA"/>
    <d v="2026-03-26T00:00:00"/>
    <s v="CP"/>
  </r>
  <r>
    <s v="ELOGY TECNOLOGIA ECOLOGICA S.A.S"/>
    <s v="Tratamiento y disposicion final agua"/>
    <x v="4"/>
    <d v="2026-01-30T00:00:00"/>
    <s v="ELEC 1112"/>
    <n v="103730"/>
    <s v="PAGADA"/>
    <d v="2026-03-26T00:00:00"/>
    <s v="CP"/>
  </r>
  <r>
    <s v="ELOGY TECNOLOGIA ECOLOGICA S.A.S"/>
    <s v="Tratamiento y disposicion final de residuos contaminados"/>
    <x v="4"/>
    <d v="2026-02-20T00:00:00"/>
    <s v="ELEC 1124"/>
    <n v="2322940"/>
    <s v="PAGADA"/>
    <d v="2026-03-26T00:00:00"/>
    <s v="CP"/>
  </r>
  <r>
    <s v="ELOGY TECNOLOGIA ECOLOGICA S.A.S"/>
    <s v="Tratamiento y disposicion final de tierras contaminadas"/>
    <x v="4"/>
    <d v="2026-02-19T00:00:00"/>
    <s v="ELEC 1123"/>
    <n v="3040968"/>
    <s v="PAGADA"/>
    <d v="2026-03-26T00:00:00"/>
    <s v="CP"/>
  </r>
  <r>
    <s v="ENVIOIL ENVIROMENTAL OIL SERVICES S.A.S"/>
    <s v="Tratamiento y disposicion final de agua"/>
    <x v="4"/>
    <d v="2026-01-26T00:00:00"/>
    <s v="ENVI 95"/>
    <n v="34717942"/>
    <s v="PAGADA"/>
    <d v="2026-03-26T00:00:00"/>
    <s v="CP"/>
  </r>
  <r>
    <s v="ESTRATEGIA Y SERVICIO COLOMBIA DE TRANSPORTE S.A.S"/>
    <s v="Insumos campo"/>
    <x v="4"/>
    <d v="2026-01-19T00:00:00"/>
    <s v="FELE 317"/>
    <n v="9772400"/>
    <s v="PAGADA"/>
    <d v="2026-03-26T00:00:00"/>
    <s v="CP"/>
  </r>
  <r>
    <s v="GANADERIA Y TRANSPORTE HERMANOS LOPEZ CASALLAS S.A.S"/>
    <s v="Trasporte de Agua para Irrigacion de la via donde transitan las mulas "/>
    <x v="10"/>
    <d v="2026-02-03T00:00:00"/>
    <s v="FE 103"/>
    <n v="26350000"/>
    <s v="PAGADA"/>
    <d v="2026-03-26T00:00:00"/>
    <s v="CP"/>
  </r>
  <r>
    <s v="GANADERIA Y TRANSPORTE HERMANOS LOPEZ CASALLAS S.A.S"/>
    <s v="Trasporte de Agua para Irrigacion de la via donde transitan las mulas "/>
    <x v="10"/>
    <d v="2026-02-03T00:00:00"/>
    <s v="FE 102"/>
    <n v="26350000"/>
    <s v="PAGADA"/>
    <d v="2026-03-26T00:00:00"/>
    <s v="CP"/>
  </r>
  <r>
    <s v="GANADERIA Y TRANSPORTE HERMANOS LOPEZ CASALLAS S.A.S"/>
    <s v="Trasporte de Agua para Irrigacion de la via donde transitan las mulas "/>
    <x v="10"/>
    <d v="2026-01-14T00:00:00"/>
    <s v="FE 96"/>
    <n v="26350000"/>
    <s v="PAGADA"/>
    <d v="2026-03-26T00:00:00"/>
    <s v="CP"/>
  </r>
  <r>
    <s v="Jose del Carmen Rojas"/>
    <s v="Insumos ferreteria"/>
    <x v="3"/>
    <d v="2026-02-24T00:00:00"/>
    <s v="N 52008"/>
    <n v="1498000"/>
    <s v="PAGADA"/>
    <d v="2026-03-26T00:00:00"/>
    <s v="CP"/>
  </r>
  <r>
    <s v="Jose del Carmen Rojas"/>
    <s v="Insumos ferreteria"/>
    <x v="3"/>
    <d v="2026-02-24T00:00:00"/>
    <s v="N 52011"/>
    <n v="1258000"/>
    <s v="PAGADA"/>
    <d v="2026-03-26T00:00:00"/>
    <s v="CP"/>
  </r>
  <r>
    <s v="LIPESA COLOMBIA SAS "/>
    <s v="Quimica de produccion"/>
    <x v="5"/>
    <d v="2026-01-16T00:00:00"/>
    <s v="FAL 219550"/>
    <n v="91153581"/>
    <s v="PAGADA"/>
    <d v="2026-03-26T00:00:00"/>
    <s v="CP"/>
  </r>
  <r>
    <s v="Lubdy londoño"/>
    <s v="Examenes medicos"/>
    <x v="9"/>
    <d v="2026-02-09T00:00:00"/>
    <s v="FELL 2134"/>
    <n v="162000"/>
    <s v="PAGADA"/>
    <d v="2026-03-26T00:00:00"/>
    <s v="CP"/>
  </r>
  <r>
    <s v="MONTACARGAS NACIONALES S.A.S"/>
    <s v="Transporte de carga en montacargas"/>
    <x v="2"/>
    <d v="2026-02-24T00:00:00"/>
    <s v="MNDL 3370"/>
    <n v="375000"/>
    <s v="PAGADA"/>
    <d v="2026-03-26T00:00:00"/>
    <s v="CP"/>
  </r>
  <r>
    <s v="PETROREPUESTOS"/>
    <s v="Insumos campo"/>
    <x v="8"/>
    <d v="2026-02-16T00:00:00"/>
    <s v="FAC 3767"/>
    <n v="450177"/>
    <s v="PAGADA"/>
    <d v="2026-03-26T00:00:00"/>
    <s v="CP"/>
  </r>
  <r>
    <s v="PETROREPUESTOS"/>
    <s v="Insumos campo"/>
    <x v="8"/>
    <d v="2026-02-19T00:00:00"/>
    <s v="FAC 3768"/>
    <n v="1593410"/>
    <s v="PAGADA"/>
    <d v="2026-03-26T00:00:00"/>
    <s v="CP"/>
  </r>
  <r>
    <s v="SERVICIOS TRANSMANARE S.A.S"/>
    <s v="Transporte material"/>
    <x v="10"/>
    <d v="2026-02-09T00:00:00"/>
    <s v="TMFE 255"/>
    <n v="12209160"/>
    <s v="PAGADA"/>
    <d v="2026-03-26T00:00:00"/>
    <s v="CP"/>
  </r>
  <r>
    <s v="TRANSPORTES COTRANSERVIS S.A.S"/>
    <s v="Transporte de carga"/>
    <x v="10"/>
    <d v="2026-02-11T00:00:00"/>
    <s v="FEPZ 152"/>
    <n v="16070168"/>
    <s v="PAGADA"/>
    <d v="2026-03-26T00:00:00"/>
    <s v="CP"/>
  </r>
  <r>
    <s v="TRANSPORTES ESPECIALES PACIFIC TOURS S.A.S"/>
    <s v="Servicio transporte personal"/>
    <x v="4"/>
    <d v="2026-02-05T00:00:00"/>
    <s v="PC 209"/>
    <n v="25157500"/>
    <s v="PAGADA"/>
    <d v="2026-03-26T00:00:00"/>
    <s v="CP"/>
  </r>
  <r>
    <s v="TRANSPORTES MULTICARGA S.A.S"/>
    <s v="Transporte agua"/>
    <x v="1"/>
    <d v="2026-02-11T00:00:00"/>
    <s v="FETM 9541"/>
    <n v="84800000"/>
    <s v="PAGADA"/>
    <d v="2026-03-26T00:00:00"/>
    <s v="CP"/>
  </r>
  <r>
    <s v="TRANSPORTES Y SERVICIOS GCC SAS"/>
    <s v="Transporte material "/>
    <x v="10"/>
    <d v="2026-01-24T00:00:00"/>
    <s v="ELEC 11292"/>
    <n v="7763424"/>
    <s v="PAGADA"/>
    <d v="2026-03-26T00:00:00"/>
    <s v="CP"/>
  </r>
  <r>
    <s v="TRITURADOS GREM S.A.S"/>
    <s v="Mantenimiento via"/>
    <x v="10"/>
    <d v="2026-02-02T00:00:00"/>
    <s v="GREM 54"/>
    <n v="5826240"/>
    <s v="PAGADA"/>
    <d v="2026-03-26T00:00:00"/>
    <s v="CP"/>
  </r>
  <r>
    <s v="TRITURADOS GREM S.A.S"/>
    <s v="Mantenimiento via"/>
    <x v="10"/>
    <d v="2026-02-02T00:00:00"/>
    <s v="GREM 51"/>
    <n v="5754840"/>
    <s v="PAGADA"/>
    <d v="2026-03-26T00:00:00"/>
    <s v="CP"/>
  </r>
  <r>
    <s v="TRITURADOS GREM S.A.S"/>
    <s v="Mantenimiento via"/>
    <x v="10"/>
    <d v="2026-02-02T00:00:00"/>
    <s v="GREM 52"/>
    <n v="3541440"/>
    <s v="PAGADA"/>
    <d v="2026-03-26T00:00:00"/>
    <s v="CP"/>
  </r>
  <r>
    <s v="TRITURADOS GREM S.A.S"/>
    <s v="Mantenimiento via"/>
    <x v="10"/>
    <d v="2026-02-02T00:00:00"/>
    <s v="GREM 50"/>
    <n v="3098760"/>
    <s v="PAGADA"/>
    <d v="2026-03-26T00:00:00"/>
    <s v="CP"/>
  </r>
  <r>
    <s v="TRITURADOS GREM S.A.S"/>
    <s v="Mantenimiento via"/>
    <x v="10"/>
    <d v="2026-02-02T00:00:00"/>
    <s v="GREM 48"/>
    <n v="2213400"/>
    <s v="PAGADA"/>
    <d v="2026-03-26T00:00:00"/>
    <s v="CP"/>
  </r>
  <r>
    <s v="TRITURADOS GREM S.A.S"/>
    <s v="Mantenimiento via"/>
    <x v="10"/>
    <d v="2026-02-02T00:00:00"/>
    <s v="GREM 49"/>
    <n v="2213400"/>
    <s v="PAGADA"/>
    <d v="2026-03-26T00:00:00"/>
    <s v="CP"/>
  </r>
  <r>
    <s v="TRITURADOS GREM S.A.S"/>
    <s v="Mantenimiento via"/>
    <x v="10"/>
    <d v="2026-02-02T00:00:00"/>
    <s v="GREM 53"/>
    <n v="1770720"/>
    <s v="PAGADA"/>
    <d v="2026-03-26T00:00:00"/>
    <s v="CP"/>
  </r>
  <r>
    <s v="VOLTACARGA SAS"/>
    <s v="Transporte material"/>
    <x v="4"/>
    <d v="2026-02-11T00:00:00"/>
    <s v="FT 66"/>
    <n v="26055864"/>
    <s v="PAGADA"/>
    <d v="2026-03-26T00:00:00"/>
    <s v="CP"/>
  </r>
  <r>
    <s v="VOLTACARGA SAS"/>
    <s v="Transporte de agua"/>
    <x v="1"/>
    <d v="2026-02-10T00:00:00"/>
    <s v="FT 65"/>
    <n v="13500000"/>
    <s v="PAGADA"/>
    <d v="2026-03-26T00:00:00"/>
    <s v="CP"/>
  </r>
  <r>
    <s v="SEGURIDAD SOCIAL"/>
    <s v="-"/>
    <x v="9"/>
    <d v="2026-03-15T00:00:00"/>
    <s v="-"/>
    <n v="123600400"/>
    <s v="PAGADA"/>
    <d v="2026-03-26T00:00:00"/>
    <s v="CP"/>
  </r>
  <r>
    <s v="CALZADO LABORAL S.A.S"/>
    <s v="Dotacion"/>
    <x v="9"/>
    <d v="2026-03-24T00:00:00"/>
    <s v="CL 552"/>
    <n v="107100"/>
    <s v="PAGADA"/>
    <d v="2026-03-26T00:00:00"/>
    <s v="CP"/>
  </r>
  <r>
    <s v="Sergio Morales"/>
    <s v="Legalizacion gastos"/>
    <x v="4"/>
    <d v="2026-03-24T00:00:00"/>
    <s v="Legalizacion"/>
    <n v="22311360"/>
    <s v="PAGADA"/>
    <d v="2026-03-26T00:00:00"/>
    <s v="CP"/>
  </r>
  <r>
    <s v="Diego Fernando Garzon Salazar"/>
    <s v="Apoyo Motobomba"/>
    <x v="2"/>
    <d v="2026-03-20T00:00:00"/>
    <s v="Cuenta de cobro 001"/>
    <n v="12000000"/>
    <s v="PAGADA"/>
    <d v="2026-03-26T00:00:00"/>
    <s v="CP"/>
  </r>
  <r>
    <s v="EUROLATINA GROUP S.A.S"/>
    <s v="Tuberia para linea de transporte de agua de produccion"/>
    <x v="14"/>
    <d v="2026-03-24T00:00:00"/>
    <s v="EU 21"/>
    <n v="150000000"/>
    <s v="PAGADA"/>
    <d v="2026-03-27T00:00:00"/>
    <s v="CP"/>
  </r>
  <r>
    <s v="EUROLATINA GROUP S.A.S"/>
    <s v="Tuberia para linea de transporte de agua de produccion"/>
    <x v="14"/>
    <d v="2026-03-24T00:00:00"/>
    <s v="EU 22"/>
    <n v="150000000"/>
    <s v="PAGADA"/>
    <d v="2026-03-27T00:00:00"/>
    <s v="CP"/>
  </r>
  <r>
    <s v="INGENII CONSULTANTS S.A.S"/>
    <s v="Inspeccion tuberia"/>
    <x v="4"/>
    <d v="2026-03-20T00:00:00"/>
    <s v="Orden de servicio 260330"/>
    <n v="16085100"/>
    <s v="PAGADA"/>
    <d v="2026-03-30T00:00:00"/>
    <s v="CP"/>
  </r>
  <r>
    <s v="GASTOS DE CAJA MENOR CAMPO "/>
    <d v="2026-03-01T00:00:00"/>
    <x v="15"/>
    <s v="-"/>
    <s v="-"/>
    <n v="104320000"/>
    <s v="PAGADA"/>
    <d v="2026-03-30T00:00:00"/>
    <s v="CP"/>
  </r>
  <r>
    <s v="HANNA INSTRUMENTS S.A.S"/>
    <s v="Bomba de aire"/>
    <x v="4"/>
    <d v="2026-03-30T00:00:00"/>
    <s v="Orden de compra 260341"/>
    <n v="787768"/>
    <s v="PAGADA"/>
    <d v="2026-03-30T00:00:00"/>
    <s v="CP"/>
  </r>
  <r>
    <s v="ALCA LTDA"/>
    <s v="Lavadoras"/>
    <x v="0"/>
    <d v="2026-03-30T00:00:00"/>
    <s v="Orden de compra 260340"/>
    <n v="1568000"/>
    <s v="PAGADA"/>
    <d v="2026-03-30T00:00:00"/>
    <s v="CP"/>
  </r>
  <r>
    <s v="DON DOTACION"/>
    <s v="Dotacion"/>
    <x v="9"/>
    <d v="2026-03-27T00:00:00"/>
    <s v="Orden de compra 260339"/>
    <n v="2270044"/>
    <s v="PAGADA"/>
    <d v="2026-03-30T00:00:00"/>
    <s v="CP"/>
  </r>
  <r>
    <s v="INGENII CONSULTANTS S.A.S"/>
    <s v="Inspeccion gases combustion"/>
    <x v="4"/>
    <d v="2026-03-30T00:00:00"/>
    <s v="INGE 58"/>
    <n v="7735000"/>
    <s v="PAGADA"/>
    <d v="2026-03-30T00:00:00"/>
    <s v="CP"/>
  </r>
  <r>
    <s v="TALECTRO INGENIERIA S.A.S"/>
    <s v="Tacometro"/>
    <x v="3"/>
    <d v="2026-03-30T00:00:00"/>
    <s v="Orden de compra 260342"/>
    <n v="595000"/>
    <s v="PAGADA"/>
    <d v="2026-03-30T00:00:00"/>
    <s v="CP"/>
  </r>
  <r>
    <s v="IMPOFER IMPORTADORA DE FERRETERIA S.A.S"/>
    <s v="Insumos campo"/>
    <x v="0"/>
    <d v="2026-03-30T00:00:00"/>
    <s v="Orden de compra 260343"/>
    <n v="599760"/>
    <s v="PAGADA"/>
    <d v="2026-03-30T00:00:00"/>
    <s v="CP"/>
  </r>
  <r>
    <s v="Fabian Rene Solano"/>
    <s v="Transporte cargadero"/>
    <x v="4"/>
    <d v="2026-03-29T00:00:00"/>
    <s v="Cuenta de cobro 002 2026"/>
    <n v="2700000"/>
    <s v="PAGADA"/>
    <d v="2026-03-30T00:00:00"/>
    <s v="CP"/>
  </r>
  <r>
    <s v="Comunidades "/>
    <d v="2026-03-01T00:00:00"/>
    <x v="16"/>
    <s v="-"/>
    <s v="-"/>
    <n v="50000000"/>
    <s v="PAGADA"/>
    <d v="2026-03-30T00:00:00"/>
    <s v="CP"/>
  </r>
  <r>
    <s v="NOMINA "/>
    <s v="Nomina Operativa"/>
    <x v="9"/>
    <d v="2026-03-30T00:00:00"/>
    <s v="Segunda quincena marzo 2026"/>
    <n v="235386891"/>
    <s v="PAGADA"/>
    <d v="2026-03-30T00:00:00"/>
    <s v="CP"/>
  </r>
  <r>
    <s v="PROVISIONES RECURSOS HUMANOS "/>
    <d v="2026-03-01T00:00:00"/>
    <x v="17"/>
    <d v="2026-03-30T00:00:00"/>
    <s v="-"/>
    <n v="51003916"/>
    <s v="PAGADA"/>
    <d v="2026-03-30T00:00:00"/>
    <s v="CP"/>
  </r>
  <r>
    <s v="PROVISION PROPIEDAD PLANTA Y EQUIPO"/>
    <d v="2026-03-01T00:00:00"/>
    <x v="18"/>
    <d v="2026-03-30T00:00:00"/>
    <s v="-"/>
    <n v="26647657.501158491"/>
    <s v="PAGADA"/>
    <d v="2026-01-30T00:00:00"/>
    <s v="CP"/>
  </r>
  <r>
    <s v="Carmenza Prieto"/>
    <s v="Honorarios contables"/>
    <x v="19"/>
    <d v="2026-02-25T00:00:00"/>
    <s v="Cuenta de Cibro 0032026"/>
    <n v="2800000"/>
    <s v="PAGADA"/>
    <d v="2026-03-02T00:00:00"/>
    <s v="GOP"/>
  </r>
  <r>
    <s v="CLARO"/>
    <s v="Telefonia oficina"/>
    <x v="6"/>
    <d v="2026-02-05T00:00:00"/>
    <s v="3 - 292512819"/>
    <n v="74980"/>
    <s v="PAGADA"/>
    <d v="2026-03-02T00:00:00"/>
    <s v="GOP"/>
  </r>
  <r>
    <s v="CLARO"/>
    <s v="Internet oficina"/>
    <x v="6"/>
    <d v="2026-02-01T00:00:00"/>
    <s v="3 - 292492105"/>
    <n v="750898"/>
    <s v="PAGADA"/>
    <d v="2026-03-02T00:00:00"/>
    <s v="GOP"/>
  </r>
  <r>
    <s v="CLARO"/>
    <s v="Television campo"/>
    <x v="6"/>
    <d v="2026-02-01T00:00:00"/>
    <s v="R1138076683"/>
    <n v="80000"/>
    <s v="PAGADA"/>
    <d v="2026-03-02T00:00:00"/>
    <s v="GOP"/>
  </r>
  <r>
    <s v="Jeimy Lorena Alvarado"/>
    <s v="Consultoria en implementacion y diseno del sistema de gestion y salud en el trabajo"/>
    <x v="4"/>
    <d v="2026-02-20T00:00:00"/>
    <s v="Cuenta de Cobro 014"/>
    <n v="1680000"/>
    <s v="PAGADA"/>
    <d v="2026-03-02T00:00:00"/>
    <s v="GOP"/>
  </r>
  <r>
    <s v="Nestor Alberto Prada"/>
    <s v="Legalizacion gastos"/>
    <x v="4"/>
    <d v="2026-02-19T00:00:00"/>
    <s v="Legalizacion"/>
    <n v="447893"/>
    <s v="PAGADA"/>
    <d v="2026-03-02T00:00:00"/>
    <s v="GOP"/>
  </r>
  <r>
    <s v="Nestor Alberto Prada"/>
    <s v="Honorarios contables"/>
    <x v="19"/>
    <d v="2026-02-25T00:00:00"/>
    <s v="NFE 104"/>
    <n v="7140000"/>
    <s v="PAGADA"/>
    <d v="2026-03-02T00:00:00"/>
    <s v="GOP"/>
  </r>
  <r>
    <s v="ITAU"/>
    <s v="Comision Fondo de Abandono"/>
    <x v="19"/>
    <d v="2026-02-05T00:00:00"/>
    <s v="SOC 116"/>
    <n v="4167154"/>
    <s v="PAGADA"/>
    <d v="2026-03-03T00:00:00"/>
    <s v="GOP"/>
  </r>
  <r>
    <s v="Jeimy Rodriguez"/>
    <s v="Legalizacion gastos ( Caja mejor oficina)"/>
    <x v="6"/>
    <d v="2026-02-17T00:00:00"/>
    <s v="Legalizacion"/>
    <n v="496335"/>
    <s v="PAGADA"/>
    <d v="2026-03-03T00:00:00"/>
    <s v="GOP"/>
  </r>
  <r>
    <s v="Alberto Cubides "/>
    <s v="Arrendamiento oficina - marzo 2026"/>
    <x v="11"/>
    <d v="2026-02-03T00:00:00"/>
    <s v="Cuenta de cobro 0032026"/>
    <n v="1500000"/>
    <s v="PAGADA"/>
    <d v="2026-03-04T00:00:00"/>
    <s v="GOP"/>
  </r>
  <r>
    <s v="Alberto Cubides "/>
    <s v="Arrendamiento oficina - febrero 2026"/>
    <x v="11"/>
    <d v="2026-02-02T00:00:00"/>
    <s v="Cuenta de cobro 0042026"/>
    <n v="1500000"/>
    <s v="PAGADA"/>
    <d v="2026-03-04T00:00:00"/>
    <s v="GOP"/>
  </r>
  <r>
    <s v="Juan Manuel Lopez"/>
    <s v="Legalizacion gastos"/>
    <x v="4"/>
    <d v="2026-02-16T00:00:00"/>
    <s v="Legalizacion"/>
    <n v="140000"/>
    <s v="PAGADA"/>
    <d v="2026-03-11T00:00:00"/>
    <s v="GOP"/>
  </r>
  <r>
    <s v="Juan Manuel Lopez"/>
    <s v="Legalizacion gastos"/>
    <x v="4"/>
    <d v="2026-02-27T00:00:00"/>
    <s v="Legalizacion"/>
    <n v="150000"/>
    <s v="PAGADA"/>
    <d v="2026-03-11T00:00:00"/>
    <s v="GOP"/>
  </r>
  <r>
    <s v="Juan Manuel Lopez"/>
    <s v="Legalizacion gastos"/>
    <x v="4"/>
    <d v="2026-02-17T00:00:00"/>
    <s v="Legalizacion"/>
    <n v="274956"/>
    <s v="PAGADA"/>
    <d v="2026-03-11T00:00:00"/>
    <s v="GOP"/>
  </r>
  <r>
    <s v="Mery Angelica Perez"/>
    <s v="Instalaciones luces oficina"/>
    <x v="6"/>
    <d v="2026-02-19T00:00:00"/>
    <s v="Orden de servicios 260230"/>
    <n v="909000"/>
    <s v="PAGADA"/>
    <d v="2026-03-11T00:00:00"/>
    <s v="GOP"/>
  </r>
  <r>
    <s v="Lina Mayercy Calderon Beltran"/>
    <s v="Regalo dia de la mujer"/>
    <x v="9"/>
    <d v="2026-03-10T00:00:00"/>
    <s v="Orden de compra 260311"/>
    <n v="1125000"/>
    <s v="PAGADA"/>
    <d v="2026-03-11T00:00:00"/>
    <s v="GOP"/>
  </r>
  <r>
    <s v="EDIFICIO TORRE EMPRESARIAL PACIFIC PH"/>
    <s v="Administracion oficina"/>
    <x v="6"/>
    <d v="2026-03-02T00:00:00"/>
    <s v="TP 33127"/>
    <n v="1238571"/>
    <s v="PAGADA"/>
    <d v="2026-03-13T00:00:00"/>
    <s v="GOP"/>
  </r>
  <r>
    <s v="Oscar Humberto Araque"/>
    <s v="Revision fiscal"/>
    <x v="19"/>
    <d v="2026-02-06T00:00:00"/>
    <s v="Cuenta de Cobro 202602"/>
    <n v="3300000"/>
    <s v="PAGADA"/>
    <d v="2026-03-13T00:00:00"/>
    <s v="GOP"/>
  </r>
  <r>
    <s v="EDIFICIO TORRE EMPRESARIAL PACIFIC PH"/>
    <s v="Energia oficina"/>
    <x v="6"/>
    <d v="2026-03-05T00:00:00"/>
    <s v="TP 33223"/>
    <n v="270619"/>
    <s v="PAGADA"/>
    <d v="2026-03-13T00:00:00"/>
    <s v="GOP"/>
  </r>
  <r>
    <s v="NOMINA "/>
    <s v="Nomina Administrativa"/>
    <x v="9"/>
    <d v="2026-03-15T00:00:00"/>
    <s v="Primera quincena marzo 2026"/>
    <n v="20229151"/>
    <s v="PAGADA"/>
    <d v="2026-03-15T00:00:00"/>
    <s v="GOP"/>
  </r>
  <r>
    <s v="Santiago Morales"/>
    <s v="Legalizacion gastos"/>
    <x v="11"/>
    <d v="2026-03-13T00:00:00"/>
    <s v="Legalizacion"/>
    <n v="2930751"/>
    <s v="PAGADA"/>
    <d v="2026-03-25T00:00:00"/>
    <s v="GOP"/>
  </r>
  <r>
    <s v="WORLD OFFICE COLOMBIA SAS"/>
    <s v="Paquete documentos electronicos"/>
    <x v="6"/>
    <d v="2026-03-24T00:00:00"/>
    <s v="Proforma1075013"/>
    <n v="350000"/>
    <s v="PAGADA"/>
    <d v="2026-03-26T00:00:00"/>
    <s v="GOP"/>
  </r>
  <r>
    <s v="Jeimy Constanza Rodriguez"/>
    <s v="Caja menor oficina"/>
    <x v="6"/>
    <d v="2026-03-24T00:00:00"/>
    <s v="Legalizacion"/>
    <n v="1035000"/>
    <s v="PAGADA"/>
    <d v="2026-03-30T00:00:00"/>
    <s v="GOP"/>
  </r>
  <r>
    <s v="NOMINA "/>
    <s v="Nomina Administrativa"/>
    <x v="9"/>
    <d v="2026-03-30T00:00:00"/>
    <s v="Segunda quincena marzo 2026"/>
    <n v="15947222"/>
    <s v="PAGADA"/>
    <d v="2026-03-30T00:00:00"/>
    <s v="GOP"/>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GREGADOS PETREOS DEL ARIPORO"/>
    <s v="Transporte de agua"/>
    <x v="0"/>
    <d v="2026-02-11T00:00:00"/>
    <s v="FE 888"/>
    <n v="144800000"/>
    <s v="PAGADA"/>
    <d v="2026-04-01T00:00:00"/>
    <s v="CP"/>
  </r>
  <r>
    <s v="TRANSPORTES MULTICARGA S.A.S"/>
    <s v="Transporte agua"/>
    <x v="0"/>
    <d v="2026-02-23T00:00:00"/>
    <s v="FETM 9586"/>
    <n v="87200000"/>
    <s v="PAGADA"/>
    <d v="2026-04-01T00:00:00"/>
    <s v="CP"/>
  </r>
  <r>
    <s v="FORPETROIL S.A.S"/>
    <s v="RENTA TANQUE HORIZONTAL                                      - RENTA GENERADOR (1 de enero al 31 de enero)                                                 - CASETA DORMITORIO (1 de enero al 31 de enero)                                                - CASETA COMPANY (1 de enero al 31 de enero)                                                 - UNIDAD DE BOMBEO (1 de enero al 31 de enero)"/>
    <x v="1"/>
    <d v="2026-02-27T00:00:00"/>
    <s v="FACT 8"/>
    <n v="81526900"/>
    <s v="PAGADA"/>
    <d v="2026-04-01T00:00:00"/>
    <s v="CP"/>
  </r>
  <r>
    <s v="PACIFIC ENERGY SOLUTIONS SAS"/>
    <s v="ALQUILER DE UNIDAD DE BOMBEO                                           - CASETA TIPO COMPANY (1 al 31 de enero 2026)                                                 - CASETA TIPO DORMITORIO (1 al 31 de enero 2026)                                                                        - RENTA  GENERADOR (1 al 31 de enero 2026)                                                - RENTA TANQUE HORIZONTAL (del 1 al 31 de enero 2026)"/>
    <x v="1"/>
    <d v="2026-02-02T00:00:00"/>
    <s v="PEFE 9"/>
    <n v="81526900"/>
    <s v="PAGADA"/>
    <d v="2026-04-01T00:00:00"/>
    <s v="CP"/>
  </r>
  <r>
    <s v="PETROASES GLOBAL ENERGY SAS"/>
    <s v="Alquiler bomba triplex"/>
    <x v="1"/>
    <d v="2026-03-05T00:00:00"/>
    <s v="FEVT 117"/>
    <n v="19992000"/>
    <s v="PAGADA"/>
    <d v="2026-04-01T00:00:00"/>
    <s v="CP"/>
  </r>
  <r>
    <s v="CHARWELD E.U"/>
    <s v="Renta cargadero FEB 2026"/>
    <x v="1"/>
    <d v="2026-03-04T00:00:00"/>
    <s v="FEV 1271"/>
    <n v="8663200"/>
    <s v="PAGADA"/>
    <d v="2026-04-01T00:00:00"/>
    <s v="CP"/>
  </r>
  <r>
    <s v="FERRETERIA ELI"/>
    <s v="Insumos campo"/>
    <x v="2"/>
    <d v="2026-03-11T00:00:00"/>
    <s v="ZELI 12896"/>
    <n v="4329000"/>
    <s v="PAGADA"/>
    <d v="2026-04-01T00:00:00"/>
    <s v="CP"/>
  </r>
  <r>
    <s v="Marcelo Rojas Ballesteros"/>
    <s v="Consultoria juridica"/>
    <x v="3"/>
    <d v="2026-03-12T00:00:00"/>
    <s v="Cuenta de Cobro 011"/>
    <n v="4000000"/>
    <s v="PAGADA"/>
    <d v="2026-04-01T00:00:00"/>
    <s v="CP"/>
  </r>
  <r>
    <s v="PETROREPUESTOS"/>
    <s v="Insumos campo"/>
    <x v="4"/>
    <d v="2026-03-03T00:00:00"/>
    <s v="FAC 3771"/>
    <n v="2578254"/>
    <s v="PAGADA"/>
    <d v="2026-04-01T00:00:00"/>
    <s v="CP"/>
  </r>
  <r>
    <s v="FERRETERIA ELI"/>
    <s v="Transporte escombros"/>
    <x v="5"/>
    <d v="2026-03-11T00:00:00"/>
    <s v="ZELI 12918"/>
    <n v="1750000"/>
    <s v="PAGADA"/>
    <d v="2026-04-01T00:00:00"/>
    <s v="CP"/>
  </r>
  <r>
    <s v="COOPERATIVA MULTIACTIVA DE INVERSIONES INGENIERIA Y TRANSPORTES"/>
    <s v="Transporte material"/>
    <x v="6"/>
    <d v="2026-03-09T00:00:00"/>
    <s v="FET 259"/>
    <n v="1710816"/>
    <s v="PAGADA"/>
    <d v="2026-04-01T00:00:00"/>
    <s v="CP"/>
  </r>
  <r>
    <s v="FERRETERIA ELI"/>
    <s v="Transporte material"/>
    <x v="6"/>
    <d v="2026-03-30T00:00:00"/>
    <s v="ZELI 13452"/>
    <n v="1704000"/>
    <s v="PAGADA"/>
    <d v="2026-04-01T00:00:00"/>
    <s v="CP"/>
  </r>
  <r>
    <s v="Luz Jareth Rodriguez Rodriguez"/>
    <s v="Transporte camioneta"/>
    <x v="5"/>
    <d v="2026-03-24T00:00:00"/>
    <s v="Cuenta de cobro 002"/>
    <n v="500000"/>
    <s v="PAGADA"/>
    <d v="2026-04-01T00:00:00"/>
    <s v="CP"/>
  </r>
  <r>
    <s v="INVERSIONES RIVEROS SAS "/>
    <s v="ACPM"/>
    <x v="7"/>
    <s v="-"/>
    <s v="-"/>
    <n v="133741106"/>
    <s v="PAGADA"/>
    <d v="2026-04-01T00:00:00"/>
    <s v="CP"/>
  </r>
  <r>
    <s v="ESTANDAR OIL SAS"/>
    <s v="Bomba Jet"/>
    <x v="8"/>
    <d v="2026-02-26T00:00:00"/>
    <s v="STFE 38"/>
    <n v="52955000"/>
    <s v="PAGADA"/>
    <d v="2026-04-02T00:00:00"/>
    <s v="CP"/>
  </r>
  <r>
    <s v="ESTANDAR OIL SAS"/>
    <s v="Alquiler tanques verticales (1 al 31 de enero 2026)"/>
    <x v="1"/>
    <d v="2026-02-09T00:00:00"/>
    <s v="STFE 36"/>
    <n v="49063700"/>
    <s v="PAGADA"/>
    <d v="2026-04-02T00:00:00"/>
    <s v="CP"/>
  </r>
  <r>
    <s v="ESTANDAR OIL SAS"/>
    <s v="Alquiler tanques horizontales (1 al 31 de enero 2026)"/>
    <x v="1"/>
    <d v="2026-02-09T00:00:00"/>
    <s v="STFE 35"/>
    <n v="30987600"/>
    <s v="PAGADA"/>
    <d v="2026-04-02T00:00:00"/>
    <s v="CP"/>
  </r>
  <r>
    <s v="ESTANDAR OIL SAS"/>
    <s v="Alquiler frac tank (1 al 31 de enero 2026)"/>
    <x v="1"/>
    <d v="2026-02-09T00:00:00"/>
    <s v="STFE 34"/>
    <n v="28036400"/>
    <s v="PAGADA"/>
    <d v="2026-04-02T00:00:00"/>
    <s v="CP"/>
  </r>
  <r>
    <s v="ESTANDAR OIL SAS"/>
    <s v="Alquiler gun barrel (1 al 31 de enero 2026)"/>
    <x v="1"/>
    <d v="2026-02-09T00:00:00"/>
    <s v="STFE 37"/>
    <n v="19182800"/>
    <s v="PAGADA"/>
    <d v="2026-04-02T00:00:00"/>
    <s v="CP"/>
  </r>
  <r>
    <s v="ALDEMAR GUZMAN E HIJOS S.A.S"/>
    <s v="Dotacion"/>
    <x v="9"/>
    <d v="2026-04-06T00:00:00"/>
    <s v="Orden de compra 260408"/>
    <n v="1053150"/>
    <s v="PAGADA"/>
    <d v="2026-04-07T00:00:00"/>
    <s v="CP"/>
  </r>
  <r>
    <s v="MANGUERAS Y RACORES"/>
    <s v="Insumos campo"/>
    <x v="4"/>
    <d v="2026-04-06T00:00:00"/>
    <s v="Orden de compra 260404"/>
    <n v="330000"/>
    <s v="PAGADA"/>
    <d v="2026-04-07T00:00:00"/>
    <s v="CP"/>
  </r>
  <r>
    <s v="Ferlin Pena Marin"/>
    <s v="Planta eco diesel"/>
    <x v="5"/>
    <d v="2026-04-09T00:00:00"/>
    <s v="FEL 1278"/>
    <n v="5850000"/>
    <s v="PAGADA"/>
    <d v="2026-04-09T00:00:00"/>
    <s v="CP"/>
  </r>
  <r>
    <s v="TECNOLOGIA, DISENO Y MANTENIMIENTO DE COLOMBIA S.A.S"/>
    <s v="Reparacion electrobomba"/>
    <x v="5"/>
    <d v="2026-04-07T00:00:00"/>
    <s v="FETD 321"/>
    <n v="1666000"/>
    <s v="PAGADA"/>
    <d v="2026-04-09T00:00:00"/>
    <s v="CP"/>
  </r>
  <r>
    <s v="INGEPROYECTOS L &amp; C S.A.S"/>
    <s v="Alquiler taladro percutor makita 2 días"/>
    <x v="1"/>
    <d v="2026-04-08T00:00:00"/>
    <s v="LC 135"/>
    <n v="166600"/>
    <s v="PAGADA"/>
    <d v="2026-04-09T00:00:00"/>
    <s v="CP"/>
  </r>
  <r>
    <s v="NOVATEC FLUIDS SYSTEM SA "/>
    <s v="BOMBA DOSIFICADORA ELECTROMAGNÉTICA DE DIAFRAGMA MARCA:LIQUID METRONICS / MILTON ROY"/>
    <x v="8"/>
    <d v="2026-04-08T00:00:00"/>
    <s v="Orden de compra 260407"/>
    <n v="11344203"/>
    <s v="PAGADA"/>
    <d v="2026-04-09T00:00:00"/>
    <s v="CP"/>
  </r>
  <r>
    <s v="Martha Duralva Riay"/>
    <s v="Transporte tanque de pozo ODT a KIMBO y de pozo KIMBO a ODT "/>
    <x v="5"/>
    <d v="2026-04-07T00:00:00"/>
    <s v="Cuenta de cobro 004"/>
    <n v="12000000"/>
    <s v="PAGADA"/>
    <d v="2026-04-10T00:00:00"/>
    <s v="CP"/>
  </r>
  <r>
    <s v="MATERIALES ELECTRICOS V M S.A.S"/>
    <s v="Insumos campo"/>
    <x v="10"/>
    <d v="2026-04-06T00:00:00"/>
    <s v="Orden de compra 260406"/>
    <n v="6593913"/>
    <s v="PAGADA"/>
    <d v="2026-04-10T00:00:00"/>
    <s v="CP"/>
  </r>
  <r>
    <s v="BLAMIS DOTACIONES LABORATORIO S.A.S"/>
    <s v="Insumos campo"/>
    <x v="11"/>
    <d v="2026-04-06T00:00:00"/>
    <s v="Orden de compra 260403"/>
    <n v="3047923"/>
    <s v="PAGADA"/>
    <d v="2026-04-10T00:00:00"/>
    <s v="CP"/>
  </r>
  <r>
    <s v="CODIFER SAS"/>
    <s v="Insumos campo"/>
    <x v="10"/>
    <d v="2026-03-31T00:00:00"/>
    <s v="Orden de compra 260344"/>
    <n v="1723989"/>
    <s v="PAGADA"/>
    <d v="2026-04-10T00:00:00"/>
    <s v="CP"/>
  </r>
  <r>
    <s v="CODIFER SAS"/>
    <s v="Insumos campo"/>
    <x v="10"/>
    <d v="2026-04-06T00:00:00"/>
    <s v="Orden de compra 260402"/>
    <n v="1162767"/>
    <s v="PAGADA"/>
    <d v="2026-04-10T00:00:00"/>
    <s v="CP"/>
  </r>
  <r>
    <s v="DON DOTACION"/>
    <s v="Dotacion"/>
    <x v="9"/>
    <d v="2026-04-10T00:00:00"/>
    <s v="Orden de compra 260411"/>
    <n v="3349136"/>
    <s v="PAGADA"/>
    <d v="2026-04-12T00:00:00"/>
    <s v="CP"/>
  </r>
  <r>
    <s v="LEDSCOLOR LAT"/>
    <s v="Insumos campo"/>
    <x v="10"/>
    <d v="2026-04-09T00:00:00"/>
    <s v="Orden de compra 260409"/>
    <n v="224000"/>
    <s v="PAGADA"/>
    <d v="2026-04-12T00:00:00"/>
    <s v="CP"/>
  </r>
  <r>
    <s v="CAMPAMENTOS CASANARE"/>
    <m/>
    <x v="1"/>
    <d v="2026-03-07T00:00:00"/>
    <s v="A 3691"/>
    <n v="32567968"/>
    <s v="PAGADA"/>
    <d v="2026-04-14T00:00:00"/>
    <s v="CP"/>
  </r>
  <r>
    <s v="Romulo Alberto Camargo"/>
    <s v="Transporte de agua"/>
    <x v="0"/>
    <d v="2026-03-03T00:00:00"/>
    <s v="AC 344"/>
    <n v="23375000"/>
    <s v="PAGADA"/>
    <d v="2026-04-14T00:00:00"/>
    <s v="CP"/>
  </r>
  <r>
    <s v="CUMMINS DE LOS ANDES S.A"/>
    <s v="Insumos campo"/>
    <x v="10"/>
    <d v="2026-04-07T00:00:00"/>
    <s v="Orden de compra 260412"/>
    <n v="16450003"/>
    <s v="PAGADA"/>
    <d v="2026-04-14T00:00:00"/>
    <s v="CP"/>
  </r>
  <r>
    <s v="Carlos Fernando Moreno"/>
    <s v="Consultoria para creacion anexos cartograficos"/>
    <x v="5"/>
    <d v="2026-04-01T00:00:00"/>
    <s v="Cuenta de cobro 0126"/>
    <n v="8000000"/>
    <s v="PAGADA"/>
    <d v="2026-04-14T00:00:00"/>
    <s v="CP"/>
  </r>
  <r>
    <s v="Jose del Carmen Rojas"/>
    <s v="Insumos ferreteria"/>
    <x v="2"/>
    <d v="2026-03-17T00:00:00"/>
    <s v="N 52720"/>
    <n v="4406500"/>
    <s v="PAGADA"/>
    <d v="2026-04-14T00:00:00"/>
    <s v="CP"/>
  </r>
  <r>
    <s v="Jose James Correa"/>
    <s v="Alquiler vehiculo pozo KIMBO - ODT mes febrero 2026"/>
    <x v="1"/>
    <d v="2026-03-09T00:00:00"/>
    <s v="Cuenta de Cobro 0052026"/>
    <n v="4000000"/>
    <s v="PAGADA"/>
    <d v="2026-04-14T00:00:00"/>
    <s v="CP"/>
  </r>
  <r>
    <s v="Jose del Carmen Rojas"/>
    <s v="Insumos campo"/>
    <x v="2"/>
    <d v="2026-03-16T00:00:00"/>
    <s v="N 52675"/>
    <n v="3087000"/>
    <s v="PAGADA"/>
    <d v="2026-04-14T00:00:00"/>
    <s v="CP"/>
  </r>
  <r>
    <s v="CAPROIN S.A"/>
    <s v="Insumos campo"/>
    <x v="10"/>
    <d v="2026-04-14T00:00:00"/>
    <s v="Orden de compra 260417"/>
    <n v="2438072"/>
    <s v="PAGADA"/>
    <d v="2026-04-14T00:00:00"/>
    <s v="CP"/>
  </r>
  <r>
    <s v="EMMANUEL DOTACIONES"/>
    <s v="Dotacion"/>
    <x v="9"/>
    <d v="2026-03-17T00:00:00"/>
    <s v="CT1 8189"/>
    <n v="2159100"/>
    <s v="PAGADA"/>
    <d v="2026-04-14T00:00:00"/>
    <s v="CP"/>
  </r>
  <r>
    <s v="TRANSLOGIC COLOMBIA SAS"/>
    <s v="Transporte personal"/>
    <x v="5"/>
    <d v="2026-03-09T00:00:00"/>
    <s v="FE 131"/>
    <n v="2000000"/>
    <s v="PAGADA"/>
    <d v="2026-04-14T00:00:00"/>
    <s v="CP"/>
  </r>
  <r>
    <s v="EMMANUEL DOTACIONES"/>
    <s v="Dotacion"/>
    <x v="9"/>
    <d v="2026-04-08T00:00:00"/>
    <s v="CT1 8370"/>
    <n v="1933600"/>
    <s v="PAGADA"/>
    <d v="2026-04-14T00:00:00"/>
    <s v="CP"/>
  </r>
  <r>
    <s v="Nhora Rocio Pacativa"/>
    <s v="Dotacion"/>
    <x v="9"/>
    <d v="2026-04-06T00:00:00"/>
    <s v="Cuenta de cobro 004"/>
    <n v="1832000"/>
    <s v="PAGADA"/>
    <d v="2026-04-14T00:00:00"/>
    <s v="CP"/>
  </r>
  <r>
    <s v="Jose del Carmen Rojas"/>
    <s v="Insumos campo"/>
    <x v="2"/>
    <d v="2026-03-13T00:00:00"/>
    <s v="N 52583"/>
    <n v="1415000"/>
    <s v="PAGADA"/>
    <d v="2026-04-14T00:00:00"/>
    <s v="CP"/>
  </r>
  <r>
    <s v="EMMANUEL DOTACIONES"/>
    <s v="Dotacion"/>
    <x v="9"/>
    <d v="2026-03-30T00:00:00"/>
    <s v="CT1 8304"/>
    <n v="1174950"/>
    <s v="PAGADA"/>
    <d v="2026-04-14T00:00:00"/>
    <s v="CP"/>
  </r>
  <r>
    <s v="MATERIALES ELECTRICOS V M S.A.S"/>
    <s v="Insumos campo"/>
    <x v="10"/>
    <d v="2026-04-13T00:00:00"/>
    <s v="Orden de compra 260414"/>
    <n v="1163099"/>
    <s v="PAGADA"/>
    <d v="2026-04-14T00:00:00"/>
    <s v="CP"/>
  </r>
  <r>
    <s v="Mauricio Florez"/>
    <s v="Examen medico"/>
    <x v="9"/>
    <d v="2026-03-05T00:00:00"/>
    <s v="FAM 2970"/>
    <n v="1116000"/>
    <s v="PAGADA"/>
    <d v="2026-04-14T00:00:00"/>
    <s v="CP"/>
  </r>
  <r>
    <s v="CALZADO LABORAL S.A.S"/>
    <s v="Dotacion"/>
    <x v="9"/>
    <d v="2026-04-10T00:00:00"/>
    <s v="Orden de compra 260410"/>
    <n v="906780"/>
    <s v="PAGADA"/>
    <d v="2026-04-14T00:00:00"/>
    <s v="CP"/>
  </r>
  <r>
    <s v="FERRETERIA LUIS PENAGOS SAS"/>
    <s v="Insumos campo"/>
    <x v="10"/>
    <d v="2026-04-13T00:00:00"/>
    <s v="Orden de compra 260415"/>
    <n v="858407"/>
    <s v="PAGADA"/>
    <d v="2026-04-14T00:00:00"/>
    <s v="CP"/>
  </r>
  <r>
    <s v="Frank Cristian Daza"/>
    <s v="Servicio alimentacion"/>
    <x v="5"/>
    <d v="2026-03-11T00:00:00"/>
    <s v="Cuenta de cobro 001"/>
    <n v="450000"/>
    <s v="PAGADA"/>
    <d v="2026-04-14T00:00:00"/>
    <s v="CP"/>
  </r>
  <r>
    <s v="Lubdy londoño"/>
    <s v="Examenes medicos"/>
    <x v="9"/>
    <d v="2026-03-04T00:00:00"/>
    <s v="FELL 2171"/>
    <n v="270000"/>
    <s v="PAGADA"/>
    <d v="2026-04-14T00:00:00"/>
    <s v="CP"/>
  </r>
  <r>
    <s v="NOMINA"/>
    <s v="Nomina Operativa"/>
    <x v="9"/>
    <d v="2026-04-15T00:00:00"/>
    <s v="Primera quincena abril 2026"/>
    <n v="223189321"/>
    <s v="PAGADA"/>
    <d v="2026-04-15T00:00:00"/>
    <s v="CP"/>
  </r>
  <r>
    <s v="PACIFIC ENERGY SOLUTIONS SAS"/>
    <s v=" ALQUILER DE UNIDAD DE BOMBEO                                           - CASETA TIPO COMPANY                                        - CASETA TIPO DORMITORIO                                    - RENTA  GENERADOR - RENTA TANQUES HORIZONTALES DEL 1 AL  28  DE FEBRERO 2026"/>
    <x v="1"/>
    <d v="2026-03-02T00:00:00"/>
    <s v="PEFE 10"/>
    <n v="73637200"/>
    <s v="PAGADA"/>
    <d v="2026-04-21T00:00:00"/>
    <s v="CP"/>
  </r>
  <r>
    <s v="D &amp; S DOTACIONES Y SERVICIOS"/>
    <s v="Insumos oficina"/>
    <x v="12"/>
    <d v="2026-04-16T00:00:00"/>
    <s v="Orden de compra 260422"/>
    <n v="4574999"/>
    <s v="PAGADA"/>
    <d v="2026-04-21T00:00:00"/>
    <s v="CP"/>
  </r>
  <r>
    <s v="Juan Manuel Lopez"/>
    <s v="Legalizacion gastos"/>
    <x v="5"/>
    <d v="2026-03-31T00:00:00"/>
    <s v="Legalizacion"/>
    <n v="1925120"/>
    <s v="PAGADA"/>
    <d v="2026-04-21T00:00:00"/>
    <s v="CP"/>
  </r>
  <r>
    <s v="IGNACIO GOMEZ IGM S.A.S"/>
    <s v="Insumos campo"/>
    <x v="10"/>
    <d v="2026-04-16T00:00:00"/>
    <s v="Orden de compra 260421"/>
    <n v="1079568"/>
    <s v="PAGADA"/>
    <d v="2026-04-21T00:00:00"/>
    <s v="CP"/>
  </r>
  <r>
    <s v="MANGUERAS Y RACORES"/>
    <s v="Insumos campo"/>
    <x v="10"/>
    <d v="2026-04-17T00:00:00"/>
    <s v="Orden de compra 260424"/>
    <n v="1026001"/>
    <s v="PAGADA"/>
    <d v="2026-04-21T00:00:00"/>
    <s v="CP"/>
  </r>
  <r>
    <s v="DISTRIBUIDORA ELECTRICA SANCHEZ SARMIENTO Y CIA SAS"/>
    <s v="Insumos campo"/>
    <x v="10"/>
    <d v="2026-04-20T00:00:00"/>
    <s v="Orden de compra 260425"/>
    <n v="680001"/>
    <s v="PAGADA"/>
    <d v="2026-04-21T00:00:00"/>
    <s v="CP"/>
  </r>
  <r>
    <s v="SEGURIDAD SOCIAL "/>
    <d v="2026-04-01T00:00:00"/>
    <x v="9"/>
    <d v="2026-04-15T00:00:00"/>
    <s v="-"/>
    <n v="146769900"/>
    <s v="PAGADA"/>
    <d v="2026-04-21T00:00:00"/>
    <s v="CP"/>
  </r>
  <r>
    <s v="DIEGO ALEJANDRO CAMACHO"/>
    <s v="Transporte montacarga"/>
    <x v="5"/>
    <d v="2026-04-14T00:00:00"/>
    <s v="Cuenta de Cobro 0027"/>
    <n v="5250000"/>
    <s v="PAGADA"/>
    <d v="2026-04-22T00:00:00"/>
    <s v="CP"/>
  </r>
  <r>
    <s v="TRANSPORTES MULTICARGA S.A.S"/>
    <s v="Transporte agua"/>
    <x v="0"/>
    <d v="2026-03-07T00:00:00"/>
    <s v="FETM 9368"/>
    <n v="72000000"/>
    <s v="PAGADA"/>
    <d v="2026-04-27T00:00:00"/>
    <s v="CP"/>
  </r>
  <r>
    <s v="CAPROIN S.A"/>
    <s v="Insumos campo"/>
    <x v="10"/>
    <d v="2026-04-27T00:00:00"/>
    <s v="Orden de compra 260430"/>
    <n v="4373488"/>
    <s v="PAGADA"/>
    <d v="2026-04-27T00:00:00"/>
    <s v="CP"/>
  </r>
  <r>
    <s v="Cipriana Fernandez de Garcia"/>
    <s v="Suministro alimentacion"/>
    <x v="5"/>
    <d v="2026-03-26T00:00:00"/>
    <s v="Cuenta de cobro 009"/>
    <n v="3024000"/>
    <s v="PAGADA"/>
    <d v="2026-04-28T00:00:00"/>
    <s v="CP"/>
  </r>
  <r>
    <s v="Elbis Acosta Prada"/>
    <s v="Renta vehiculo"/>
    <x v="1"/>
    <d v="2026-03-17T00:00:00"/>
    <s v="EAP 21"/>
    <n v="12000000"/>
    <s v="PAGADA"/>
    <d v="2026-04-28T00:00:00"/>
    <s v="CP"/>
  </r>
  <r>
    <s v="ELOGY TECNOLOGIA ECOLOGICA S.A.S"/>
    <s v="Tratamiento y disposicion residuos organicos"/>
    <x v="5"/>
    <d v="2026-03-20T00:00:00"/>
    <s v="ELEC 1144"/>
    <n v="1266385"/>
    <s v="PAGADA"/>
    <d v="2026-04-28T00:00:00"/>
    <s v="CP"/>
  </r>
  <r>
    <s v="ELOGY TECNOLOGIA ECOLOGICA S.A.S"/>
    <s v="Tratamiento y disposicion residuos organicos"/>
    <x v="5"/>
    <d v="2026-03-26T00:00:00"/>
    <s v="ELEC 1148"/>
    <n v="3894595"/>
    <s v="PAGADA"/>
    <d v="2026-04-28T00:00:00"/>
    <s v="CP"/>
  </r>
  <r>
    <s v="ESTRATEGIA Y SERVICIO COLOMBIA DE TRANSPORTE S.A.S"/>
    <s v="Transporte de material"/>
    <x v="6"/>
    <d v="2026-03-26T00:00:00"/>
    <s v="FELE 343"/>
    <n v="1727856"/>
    <s v="PAGADA"/>
    <d v="2026-04-28T00:00:00"/>
    <s v="CP"/>
  </r>
  <r>
    <s v="GANADERIA Y TRANSPORTE HERMANOS LOPEZ CASALLAS S.A.S"/>
    <s v="Trasporte de Agua para Irrigacion de la via donde transitan las mulas "/>
    <x v="6"/>
    <d v="2026-03-11T00:00:00"/>
    <s v="FE 109"/>
    <n v="25500000"/>
    <s v="PAGADA"/>
    <d v="2026-04-28T00:00:00"/>
    <s v="CP"/>
  </r>
  <r>
    <s v="Jose del Carmen Rojas"/>
    <s v="Insumos campo"/>
    <x v="2"/>
    <d v="2026-03-24T00:00:00"/>
    <s v="N 52922"/>
    <n v="2184300"/>
    <s v="PAGADA"/>
    <d v="2026-04-28T00:00:00"/>
    <s v="CP"/>
  </r>
  <r>
    <s v="Jose del Carmen Rojas"/>
    <s v="Insumos campo"/>
    <x v="2"/>
    <d v="2026-03-26T00:00:00"/>
    <s v="N 53032"/>
    <n v="691499"/>
    <s v="PAGADA"/>
    <d v="2026-04-28T00:00:00"/>
    <s v="CP"/>
  </r>
  <r>
    <s v="Jose del Carmen Rojas"/>
    <s v="Inversion Social"/>
    <x v="13"/>
    <d v="2026-03-30T00:00:00"/>
    <s v="N 53145"/>
    <n v="79992000"/>
    <s v="PAGADA"/>
    <d v="2026-04-28T00:00:00"/>
    <s v="CP"/>
  </r>
  <r>
    <s v="NACIONAL DE TRANSPORTES Y SERVICIOS DE LA ORINOQUIA S.A.S"/>
    <s v="Transporte de carga"/>
    <x v="6"/>
    <d v="2026-03-18T00:00:00"/>
    <s v="FT 232"/>
    <n v="13367028"/>
    <s v="PAGADA"/>
    <d v="2026-04-28T00:00:00"/>
    <s v="CP"/>
  </r>
  <r>
    <s v="PETROREPUESTOS"/>
    <s v="Insumos campo"/>
    <x v="4"/>
    <d v="2026-03-24T00:00:00"/>
    <s v="FAC 3775"/>
    <n v="2518040"/>
    <s v="PAGADA"/>
    <d v="2026-04-28T00:00:00"/>
    <s v="CP"/>
  </r>
  <r>
    <s v="Sergio Morales"/>
    <s v="Legalizacion gastos"/>
    <x v="5"/>
    <d v="2026-04-16T00:00:00"/>
    <s v="Legalizacion"/>
    <n v="21472335"/>
    <s v="PAGADA"/>
    <d v="2026-04-28T00:00:00"/>
    <s v="CP"/>
  </r>
  <r>
    <s v="LIPESA COLOMBIA SAS"/>
    <s v="Quimica"/>
    <x v="14"/>
    <d v="2026-03-02T00:00:00"/>
    <s v="FAL 219820"/>
    <n v="55943873"/>
    <s v="PAGADA"/>
    <d v="2026-04-28T00:00:00"/>
    <s v="CP"/>
  </r>
  <r>
    <s v="CLARO"/>
    <s v="Television campo"/>
    <x v="12"/>
    <d v="2026-04-01T00:00:00"/>
    <s v="R1145380703"/>
    <n v="80000"/>
    <s v="PAGADA"/>
    <d v="2026-04-28T00:00:00"/>
    <s v="CP"/>
  </r>
  <r>
    <s v="Sidny Sayid Geromito"/>
    <s v="Insumos campo"/>
    <x v="10"/>
    <d v="2026-04-27T00:00:00"/>
    <s v="Cuenta de cobro 01"/>
    <n v="1800000"/>
    <s v="PAGADA"/>
    <d v="2026-04-28T00:00:00"/>
    <s v="CP"/>
  </r>
  <r>
    <s v="INOXMAC IMPORTADORA Y COMERCIALIZADORA INDUSTRIAL SAS"/>
    <s v="Insumos campo"/>
    <x v="10"/>
    <d v="2026-04-27T00:00:00"/>
    <s v="Orden de servicio 260432"/>
    <n v="1507240"/>
    <s v="PAGADA"/>
    <d v="2026-04-28T00:00:00"/>
    <s v="CP"/>
  </r>
  <r>
    <s v="SERVICIO DE TORNO YOPAL"/>
    <s v="Insumos campo"/>
    <x v="10"/>
    <d v="2026-04-22T00:00:00"/>
    <s v="Cotizacion 3929"/>
    <n v="14280000"/>
    <s v="PAGADA"/>
    <d v="2026-04-28T00:00:00"/>
    <s v="CP"/>
  </r>
  <r>
    <s v="GASTO DE CAJA MENOR CAMPO"/>
    <d v="2026-04-01T00:00:00"/>
    <x v="15"/>
    <s v="-"/>
    <s v="-"/>
    <n v="94000000"/>
    <s v="PAGADA"/>
    <d v="2026-04-30T00:00:00"/>
    <s v="CP"/>
  </r>
  <r>
    <s v="Comunidades"/>
    <d v="2026-04-01T00:00:00"/>
    <x v="13"/>
    <s v="-"/>
    <s v="-"/>
    <n v="50000000"/>
    <s v="PAGADA"/>
    <d v="2026-04-30T00:00:00"/>
    <s v="CP"/>
  </r>
  <r>
    <s v="PROVISION PROPIEDAD PLANTA Y EQUIPO"/>
    <d v="2026-04-01T00:00:00"/>
    <x v="16"/>
    <s v="-"/>
    <s v="-"/>
    <n v="28887740.276614934"/>
    <s v="PAGADA"/>
    <d v="2026-04-30T00:00:00"/>
    <s v="CP"/>
  </r>
  <r>
    <s v="NOMINA"/>
    <s v="Nomina Operativa"/>
    <x v="9"/>
    <d v="2026-04-30T00:00:00"/>
    <s v="Segunda quincena abril 2026"/>
    <n v="219600953"/>
    <s v="PAGADA"/>
    <d v="2026-04-30T00:00:00"/>
    <s v="CP"/>
  </r>
  <r>
    <s v="PROVISIONES RECURSOS HUMANOS "/>
    <d v="2026-04-01T00:00:00"/>
    <x v="17"/>
    <d v="2026-04-30T00:00:00"/>
    <s v="-"/>
    <n v="50699940"/>
    <s v="PAGADA"/>
    <d v="2026-04-30T00:00:00"/>
    <s v="CP"/>
  </r>
  <r>
    <s v="GESTION DE SEGURIDAD ELECTRONICA S.A"/>
    <s v="Certificado digital"/>
    <x v="5"/>
    <d v="2026-03-26T00:00:00"/>
    <s v="SO 2277"/>
    <n v="965418"/>
    <s v="PAGADA"/>
    <d v="2026-04-01T00:00:00"/>
    <s v="GOP"/>
  </r>
  <r>
    <s v="Nestor Alberto Prada"/>
    <s v="Honorarios contables"/>
    <x v="18"/>
    <d v="2026-03-30T00:00:00"/>
    <s v="NFE 111"/>
    <n v="7140000"/>
    <s v="PAGADA"/>
    <d v="2026-04-14T00:00:00"/>
    <s v="GOP"/>
  </r>
  <r>
    <s v="ITAU"/>
    <s v="Comision Fondo de Abandono"/>
    <x v="18"/>
    <d v="2026-03-06T00:00:00"/>
    <s v="SOC 624"/>
    <n v="4167154"/>
    <s v="PAGADA"/>
    <d v="2026-04-14T00:00:00"/>
    <s v="GOP"/>
  </r>
  <r>
    <s v="Oscar Humberto Araque"/>
    <s v="Revision fiscal"/>
    <x v="18"/>
    <d v="2026-03-09T00:00:00"/>
    <s v="Cuenta de Cobro 202603"/>
    <n v="3300000"/>
    <s v="PAGADA"/>
    <d v="2026-04-14T00:00:00"/>
    <s v="GOP"/>
  </r>
  <r>
    <s v="Carmenza Prieto"/>
    <s v="Honorarios contables"/>
    <x v="18"/>
    <d v="2026-03-25T00:00:00"/>
    <s v="Cuenta de cobro 004 2026"/>
    <n v="2800000"/>
    <s v="PAGADA"/>
    <d v="2026-04-14T00:00:00"/>
    <s v="GOP"/>
  </r>
  <r>
    <s v="Jeimy Lorena Alvarado"/>
    <s v="Consultoria implementacion"/>
    <x v="5"/>
    <d v="2026-03-20T00:00:00"/>
    <s v="Cuenta de cobro 016"/>
    <n v="1680000"/>
    <s v="PAGADA"/>
    <d v="2026-04-14T00:00:00"/>
    <s v="GOP"/>
  </r>
  <r>
    <s v="EDIFICIO TORRE EMPRESARIAL PACIFIC PH"/>
    <s v="Administracion abril"/>
    <x v="12"/>
    <d v="2026-04-07T00:00:00"/>
    <s v="TP 33327"/>
    <n v="1610966"/>
    <s v="PAGADA"/>
    <d v="2026-04-14T00:00:00"/>
    <s v="GOP"/>
  </r>
  <r>
    <s v="EDIFICIO TORRE EMPRESARIAL PACIFIC PH"/>
    <s v="Energia oficina"/>
    <x v="12"/>
    <d v="2026-04-07T00:00:00"/>
    <s v="TP 33381"/>
    <n v="331722"/>
    <s v="PAGADA"/>
    <d v="2026-04-14T00:00:00"/>
    <s v="GOP"/>
  </r>
  <r>
    <s v="NOMINA"/>
    <s v="Nomina Administrativa"/>
    <x v="9"/>
    <d v="2026-04-15T00:00:00"/>
    <s v="Primera quincena abril 2026"/>
    <n v="19555525"/>
    <s v="PAGADA"/>
    <d v="2026-04-15T00:00:00"/>
    <s v="GOP"/>
  </r>
  <r>
    <s v="ENERGY LAW SERVICES S.A.S"/>
    <s v="Asesoria juridica"/>
    <x v="18"/>
    <d v="2026-04-13T00:00:00"/>
    <s v="FE 104"/>
    <n v="23800000"/>
    <s v="PAGADA"/>
    <d v="2026-04-16T00:00:00"/>
    <s v="GOP"/>
  </r>
  <r>
    <s v="Jeimy Constanza Rodriguez "/>
    <s v="Caja menor oficina"/>
    <x v="12"/>
    <s v="-"/>
    <s v="Legalizacion"/>
    <n v="1035000"/>
    <s v="PAGADA"/>
    <d v="2026-04-16T00:00:00"/>
    <s v="GOP"/>
  </r>
  <r>
    <s v="CLARO"/>
    <s v="Telefono oficina"/>
    <x v="12"/>
    <d v="2026-04-05T00:00:00"/>
    <s v="3 - 292578819"/>
    <n v="74980"/>
    <s v="PAGADA"/>
    <d v="2026-04-28T00:00:00"/>
    <s v="GOP"/>
  </r>
  <r>
    <s v="CLARO"/>
    <s v="Internet oficina"/>
    <x v="12"/>
    <d v="2026-04-01T00:00:00"/>
    <s v="3 - 292558456"/>
    <n v="750898"/>
    <s v="PAGADA"/>
    <d v="2026-04-28T00:00:00"/>
    <s v="GOP"/>
  </r>
  <r>
    <s v="Jeimy Constanza Rodriguez "/>
    <s v="Caja menor oficina"/>
    <x v="12"/>
    <s v="-"/>
    <s v="Legalizacion"/>
    <n v="1080005"/>
    <s v="PAGADA"/>
    <d v="2026-04-30T00:00:00"/>
    <s v="GOP"/>
  </r>
  <r>
    <s v="NOMINA"/>
    <s v="Nomina Administrativa"/>
    <x v="9"/>
    <d v="2026-04-30T00:00:00"/>
    <s v="Segunda quincena  abril 2026"/>
    <n v="15955525"/>
    <s v="PAGADA"/>
    <d v="2026-04-30T00:00:00"/>
    <s v="GO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laDinámica2"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3" rowHeaderCaption="Categoria">
  <location ref="C31:E51" firstHeaderRow="0" firstDataRow="1" firstDataCol="1"/>
  <pivotFields count="9">
    <pivotField showAll="0"/>
    <pivotField showAll="0"/>
    <pivotField axis="axisRow" showAll="0" sortType="descending">
      <items count="20">
        <item x="7"/>
        <item x="18"/>
        <item x="5"/>
        <item x="13"/>
        <item x="9"/>
        <item x="12"/>
        <item x="17"/>
        <item x="11"/>
        <item x="3"/>
        <item x="1"/>
        <item x="0"/>
        <item x="15"/>
        <item x="14"/>
        <item x="10"/>
        <item x="6"/>
        <item x="4"/>
        <item x="8"/>
        <item x="16"/>
        <item x="2"/>
        <item t="default"/>
      </items>
      <autoSortScope>
        <pivotArea dataOnly="0" outline="0" fieldPosition="0">
          <references count="1">
            <reference field="4294967294" count="1" selected="0">
              <x v="1"/>
            </reference>
          </references>
        </pivotArea>
      </autoSortScope>
    </pivotField>
    <pivotField showAll="0"/>
    <pivotField showAll="0"/>
    <pivotField dataField="1" numFmtId="165" showAll="0">
      <items count="94">
        <item x="79"/>
        <item x="78"/>
        <item x="80"/>
        <item x="15"/>
        <item x="63"/>
        <item x="66"/>
        <item x="0"/>
        <item x="13"/>
        <item x="82"/>
        <item x="42"/>
        <item x="21"/>
        <item x="6"/>
        <item x="7"/>
        <item x="31"/>
        <item x="4"/>
        <item x="89"/>
        <item x="49"/>
        <item x="77"/>
        <item x="2"/>
        <item x="76"/>
        <item x="17"/>
        <item x="75"/>
        <item x="70"/>
        <item x="14"/>
        <item x="41"/>
        <item x="81"/>
        <item x="8"/>
        <item x="50"/>
        <item x="90"/>
        <item x="1"/>
        <item x="60"/>
        <item x="58"/>
        <item x="56"/>
        <item x="5"/>
        <item x="25"/>
        <item x="34"/>
        <item x="10"/>
        <item x="86"/>
        <item x="69"/>
        <item x="67"/>
        <item x="22"/>
        <item x="84"/>
        <item x="85"/>
        <item x="26"/>
        <item x="3"/>
        <item x="39"/>
        <item x="68"/>
        <item x="83"/>
        <item x="48"/>
        <item x="19"/>
        <item x="87"/>
        <item x="12"/>
        <item x="59"/>
        <item x="20"/>
        <item x="62"/>
        <item x="91"/>
        <item x="9"/>
        <item x="61"/>
        <item x="54"/>
        <item x="28"/>
        <item x="38"/>
        <item x="11"/>
        <item x="57"/>
        <item x="74"/>
        <item x="27"/>
        <item x="92"/>
        <item x="64"/>
        <item x="23"/>
        <item x="24"/>
        <item x="88"/>
        <item x="46"/>
        <item x="40"/>
        <item x="47"/>
        <item x="35"/>
        <item x="16"/>
        <item x="43"/>
        <item x="51"/>
        <item x="44"/>
        <item x="37"/>
        <item x="45"/>
        <item x="65"/>
        <item x="73"/>
        <item x="30"/>
        <item x="52"/>
        <item x="72"/>
        <item x="18"/>
        <item x="53"/>
        <item x="36"/>
        <item x="29"/>
        <item x="33"/>
        <item x="55"/>
        <item x="32"/>
        <item x="71"/>
        <item t="default"/>
      </items>
    </pivotField>
    <pivotField showAll="0"/>
    <pivotField numFmtId="14" showAll="0"/>
    <pivotField showAll="0"/>
  </pivotFields>
  <rowFields count="1">
    <field x="2"/>
  </rowFields>
  <rowItems count="20">
    <i>
      <x v="10"/>
    </i>
    <i>
      <x v="2"/>
    </i>
    <i>
      <x v="16"/>
    </i>
    <i>
      <x v="18"/>
    </i>
    <i>
      <x v="4"/>
    </i>
    <i>
      <x v="3"/>
    </i>
    <i>
      <x v="13"/>
    </i>
    <i>
      <x v="12"/>
    </i>
    <i>
      <x v="5"/>
    </i>
    <i>
      <x v="9"/>
    </i>
    <i>
      <x/>
    </i>
    <i>
      <x v="6"/>
    </i>
    <i>
      <x v="11"/>
    </i>
    <i>
      <x v="8"/>
    </i>
    <i>
      <x v="15"/>
    </i>
    <i>
      <x v="17"/>
    </i>
    <i>
      <x v="7"/>
    </i>
    <i>
      <x v="14"/>
    </i>
    <i>
      <x v="1"/>
    </i>
    <i t="grand">
      <x/>
    </i>
  </rowItems>
  <colFields count="1">
    <field x="-2"/>
  </colFields>
  <colItems count="2">
    <i>
      <x/>
    </i>
    <i i="1">
      <x v="1"/>
    </i>
  </colItems>
  <dataFields count="2">
    <dataField name="Total" fld="5" baseField="2" baseItem="2" numFmtId="165"/>
    <dataField name="Porcentaje" fld="5" showDataAs="percentOfTotal" baseField="2" baseItem="2" numFmtId="10"/>
  </dataFields>
  <formats count="20">
    <format dxfId="37">
      <pivotArea dataOnly="0" labelOnly="1" outline="0" fieldPosition="0">
        <references count="1">
          <reference field="4294967294" count="1">
            <x v="0"/>
          </reference>
        </references>
      </pivotArea>
    </format>
    <format dxfId="36">
      <pivotArea type="all" dataOnly="0" outline="0" fieldPosition="0"/>
    </format>
    <format dxfId="35">
      <pivotArea outline="0" collapsedLevelsAreSubtotals="1"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outline="0" fieldPosition="0">
        <references count="1">
          <reference field="4294967294" count="2">
            <x v="0"/>
            <x v="1"/>
          </reference>
        </references>
      </pivotArea>
    </format>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0"/>
          </reference>
        </references>
      </pivotArea>
    </format>
    <format dxfId="28">
      <pivotArea outline="0" collapsedLevelsAreSubtotals="1" fieldPosition="0">
        <references count="1">
          <reference field="4294967294" count="1" selected="0">
            <x v="0"/>
          </reference>
        </references>
      </pivotArea>
    </format>
    <format dxfId="27">
      <pivotArea outline="0" collapsedLevelsAreSubtotals="1" fieldPosition="0">
        <references count="1">
          <reference field="4294967294" count="1" selected="0">
            <x v="0"/>
          </reference>
        </references>
      </pivotArea>
    </format>
    <format dxfId="26">
      <pivotArea field="2" type="button" dataOnly="0" labelOnly="1" outline="0" axis="axisRow" fieldPosition="0"/>
    </format>
    <format dxfId="25">
      <pivotArea dataOnly="0" labelOnly="1" outline="0" fieldPosition="0">
        <references count="1">
          <reference field="4294967294" count="2">
            <x v="0"/>
            <x v="1"/>
          </reference>
        </references>
      </pivotArea>
    </format>
    <format dxfId="24">
      <pivotArea grandRow="1" outline="0" collapsedLevelsAreSubtotals="1" fieldPosition="0"/>
    </format>
    <format dxfId="23">
      <pivotArea dataOnly="0" labelOnly="1" grandRow="1" outline="0" fieldPosition="0"/>
    </format>
    <format dxfId="22">
      <pivotArea field="2" type="button" dataOnly="0" labelOnly="1" outline="0" axis="axisRow" fieldPosition="0"/>
    </format>
    <format dxfId="21">
      <pivotArea dataOnly="0" labelOnly="1" outline="0" fieldPosition="0">
        <references count="1">
          <reference field="4294967294" count="2">
            <x v="0"/>
            <x v="1"/>
          </reference>
        </references>
      </pivotArea>
    </format>
    <format dxfId="20">
      <pivotArea grandRow="1" outline="0" collapsedLevelsAreSubtotals="1" fieldPosition="0"/>
    </format>
    <format dxfId="19">
      <pivotArea dataOnly="0" labelOnly="1" grandRow="1" outline="0" fieldPosition="0"/>
    </format>
    <format dxfId="18">
      <pivotArea collapsedLevelsAreSubtotals="1" fieldPosition="0">
        <references count="1">
          <reference field="2" count="0"/>
        </references>
      </pivotArea>
    </format>
  </formats>
  <chartFormats count="40">
    <chartFormat chart="0" format="42" series="1">
      <pivotArea type="data" outline="0" fieldPosition="0">
        <references count="1">
          <reference field="4294967294" count="1" selected="0">
            <x v="0"/>
          </reference>
        </references>
      </pivotArea>
    </chartFormat>
    <chartFormat chart="0" format="43">
      <pivotArea type="data" outline="0" fieldPosition="0">
        <references count="2">
          <reference field="4294967294" count="1" selected="0">
            <x v="0"/>
          </reference>
          <reference field="2" count="1" selected="0">
            <x v="10"/>
          </reference>
        </references>
      </pivotArea>
    </chartFormat>
    <chartFormat chart="0" format="44">
      <pivotArea type="data" outline="0" fieldPosition="0">
        <references count="2">
          <reference field="4294967294" count="1" selected="0">
            <x v="0"/>
          </reference>
          <reference field="2" count="1" selected="0">
            <x v="2"/>
          </reference>
        </references>
      </pivotArea>
    </chartFormat>
    <chartFormat chart="0" format="45">
      <pivotArea type="data" outline="0" fieldPosition="0">
        <references count="2">
          <reference field="4294967294" count="1" selected="0">
            <x v="0"/>
          </reference>
          <reference field="2" count="1" selected="0">
            <x v="16"/>
          </reference>
        </references>
      </pivotArea>
    </chartFormat>
    <chartFormat chart="0" format="46">
      <pivotArea type="data" outline="0" fieldPosition="0">
        <references count="2">
          <reference field="4294967294" count="1" selected="0">
            <x v="0"/>
          </reference>
          <reference field="2" count="1" selected="0">
            <x v="18"/>
          </reference>
        </references>
      </pivotArea>
    </chartFormat>
    <chartFormat chart="0" format="47">
      <pivotArea type="data" outline="0" fieldPosition="0">
        <references count="2">
          <reference field="4294967294" count="1" selected="0">
            <x v="0"/>
          </reference>
          <reference field="2" count="1" selected="0">
            <x v="4"/>
          </reference>
        </references>
      </pivotArea>
    </chartFormat>
    <chartFormat chart="0" format="48">
      <pivotArea type="data" outline="0" fieldPosition="0">
        <references count="2">
          <reference field="4294967294" count="1" selected="0">
            <x v="0"/>
          </reference>
          <reference field="2" count="1" selected="0">
            <x v="3"/>
          </reference>
        </references>
      </pivotArea>
    </chartFormat>
    <chartFormat chart="0" format="49">
      <pivotArea type="data" outline="0" fieldPosition="0">
        <references count="2">
          <reference field="4294967294" count="1" selected="0">
            <x v="0"/>
          </reference>
          <reference field="2" count="1" selected="0">
            <x v="13"/>
          </reference>
        </references>
      </pivotArea>
    </chartFormat>
    <chartFormat chart="0" format="50">
      <pivotArea type="data" outline="0" fieldPosition="0">
        <references count="2">
          <reference field="4294967294" count="1" selected="0">
            <x v="0"/>
          </reference>
          <reference field="2" count="1" selected="0">
            <x v="12"/>
          </reference>
        </references>
      </pivotArea>
    </chartFormat>
    <chartFormat chart="0" format="51">
      <pivotArea type="data" outline="0" fieldPosition="0">
        <references count="2">
          <reference field="4294967294" count="1" selected="0">
            <x v="0"/>
          </reference>
          <reference field="2" count="1" selected="0">
            <x v="5"/>
          </reference>
        </references>
      </pivotArea>
    </chartFormat>
    <chartFormat chart="0" format="52">
      <pivotArea type="data" outline="0" fieldPosition="0">
        <references count="2">
          <reference field="4294967294" count="1" selected="0">
            <x v="0"/>
          </reference>
          <reference field="2" count="1" selected="0">
            <x v="9"/>
          </reference>
        </references>
      </pivotArea>
    </chartFormat>
    <chartFormat chart="0" format="53">
      <pivotArea type="data" outline="0" fieldPosition="0">
        <references count="2">
          <reference field="4294967294" count="1" selected="0">
            <x v="0"/>
          </reference>
          <reference field="2" count="1" selected="0">
            <x v="0"/>
          </reference>
        </references>
      </pivotArea>
    </chartFormat>
    <chartFormat chart="0" format="54">
      <pivotArea type="data" outline="0" fieldPosition="0">
        <references count="2">
          <reference field="4294967294" count="1" selected="0">
            <x v="0"/>
          </reference>
          <reference field="2" count="1" selected="0">
            <x v="6"/>
          </reference>
        </references>
      </pivotArea>
    </chartFormat>
    <chartFormat chart="0" format="55">
      <pivotArea type="data" outline="0" fieldPosition="0">
        <references count="2">
          <reference field="4294967294" count="1" selected="0">
            <x v="0"/>
          </reference>
          <reference field="2" count="1" selected="0">
            <x v="11"/>
          </reference>
        </references>
      </pivotArea>
    </chartFormat>
    <chartFormat chart="0" format="56">
      <pivotArea type="data" outline="0" fieldPosition="0">
        <references count="2">
          <reference field="4294967294" count="1" selected="0">
            <x v="0"/>
          </reference>
          <reference field="2" count="1" selected="0">
            <x v="8"/>
          </reference>
        </references>
      </pivotArea>
    </chartFormat>
    <chartFormat chart="0" format="57">
      <pivotArea type="data" outline="0" fieldPosition="0">
        <references count="2">
          <reference field="4294967294" count="1" selected="0">
            <x v="0"/>
          </reference>
          <reference field="2" count="1" selected="0">
            <x v="15"/>
          </reference>
        </references>
      </pivotArea>
    </chartFormat>
    <chartFormat chart="0" format="58">
      <pivotArea type="data" outline="0" fieldPosition="0">
        <references count="2">
          <reference field="4294967294" count="1" selected="0">
            <x v="0"/>
          </reference>
          <reference field="2" count="1" selected="0">
            <x v="17"/>
          </reference>
        </references>
      </pivotArea>
    </chartFormat>
    <chartFormat chart="0" format="59">
      <pivotArea type="data" outline="0" fieldPosition="0">
        <references count="2">
          <reference field="4294967294" count="1" selected="0">
            <x v="0"/>
          </reference>
          <reference field="2" count="1" selected="0">
            <x v="7"/>
          </reference>
        </references>
      </pivotArea>
    </chartFormat>
    <chartFormat chart="0" format="60">
      <pivotArea type="data" outline="0" fieldPosition="0">
        <references count="2">
          <reference field="4294967294" count="1" selected="0">
            <x v="0"/>
          </reference>
          <reference field="2" count="1" selected="0">
            <x v="14"/>
          </reference>
        </references>
      </pivotArea>
    </chartFormat>
    <chartFormat chart="0" format="61">
      <pivotArea type="data" outline="0" fieldPosition="0">
        <references count="2">
          <reference field="4294967294" count="1" selected="0">
            <x v="0"/>
          </reference>
          <reference field="2" count="1" selected="0">
            <x v="1"/>
          </reference>
        </references>
      </pivotArea>
    </chartFormat>
    <chartFormat chart="0" format="62" series="1">
      <pivotArea type="data" outline="0" fieldPosition="0">
        <references count="1">
          <reference field="4294967294" count="1" selected="0">
            <x v="1"/>
          </reference>
        </references>
      </pivotArea>
    </chartFormat>
    <chartFormat chart="0" format="63">
      <pivotArea type="data" outline="0" fieldPosition="0">
        <references count="2">
          <reference field="4294967294" count="1" selected="0">
            <x v="1"/>
          </reference>
          <reference field="2" count="1" selected="0">
            <x v="10"/>
          </reference>
        </references>
      </pivotArea>
    </chartFormat>
    <chartFormat chart="0" format="64">
      <pivotArea type="data" outline="0" fieldPosition="0">
        <references count="2">
          <reference field="4294967294" count="1" selected="0">
            <x v="1"/>
          </reference>
          <reference field="2" count="1" selected="0">
            <x v="2"/>
          </reference>
        </references>
      </pivotArea>
    </chartFormat>
    <chartFormat chart="0" format="65">
      <pivotArea type="data" outline="0" fieldPosition="0">
        <references count="2">
          <reference field="4294967294" count="1" selected="0">
            <x v="1"/>
          </reference>
          <reference field="2" count="1" selected="0">
            <x v="16"/>
          </reference>
        </references>
      </pivotArea>
    </chartFormat>
    <chartFormat chart="0" format="66">
      <pivotArea type="data" outline="0" fieldPosition="0">
        <references count="2">
          <reference field="4294967294" count="1" selected="0">
            <x v="1"/>
          </reference>
          <reference field="2" count="1" selected="0">
            <x v="18"/>
          </reference>
        </references>
      </pivotArea>
    </chartFormat>
    <chartFormat chart="0" format="67">
      <pivotArea type="data" outline="0" fieldPosition="0">
        <references count="2">
          <reference field="4294967294" count="1" selected="0">
            <x v="1"/>
          </reference>
          <reference field="2" count="1" selected="0">
            <x v="4"/>
          </reference>
        </references>
      </pivotArea>
    </chartFormat>
    <chartFormat chart="0" format="68">
      <pivotArea type="data" outline="0" fieldPosition="0">
        <references count="2">
          <reference field="4294967294" count="1" selected="0">
            <x v="1"/>
          </reference>
          <reference field="2" count="1" selected="0">
            <x v="3"/>
          </reference>
        </references>
      </pivotArea>
    </chartFormat>
    <chartFormat chart="0" format="69">
      <pivotArea type="data" outline="0" fieldPosition="0">
        <references count="2">
          <reference field="4294967294" count="1" selected="0">
            <x v="1"/>
          </reference>
          <reference field="2" count="1" selected="0">
            <x v="13"/>
          </reference>
        </references>
      </pivotArea>
    </chartFormat>
    <chartFormat chart="0" format="70">
      <pivotArea type="data" outline="0" fieldPosition="0">
        <references count="2">
          <reference field="4294967294" count="1" selected="0">
            <x v="1"/>
          </reference>
          <reference field="2" count="1" selected="0">
            <x v="12"/>
          </reference>
        </references>
      </pivotArea>
    </chartFormat>
    <chartFormat chart="0" format="71">
      <pivotArea type="data" outline="0" fieldPosition="0">
        <references count="2">
          <reference field="4294967294" count="1" selected="0">
            <x v="1"/>
          </reference>
          <reference field="2" count="1" selected="0">
            <x v="5"/>
          </reference>
        </references>
      </pivotArea>
    </chartFormat>
    <chartFormat chart="0" format="72">
      <pivotArea type="data" outline="0" fieldPosition="0">
        <references count="2">
          <reference field="4294967294" count="1" selected="0">
            <x v="1"/>
          </reference>
          <reference field="2" count="1" selected="0">
            <x v="9"/>
          </reference>
        </references>
      </pivotArea>
    </chartFormat>
    <chartFormat chart="0" format="73">
      <pivotArea type="data" outline="0" fieldPosition="0">
        <references count="2">
          <reference field="4294967294" count="1" selected="0">
            <x v="1"/>
          </reference>
          <reference field="2" count="1" selected="0">
            <x v="0"/>
          </reference>
        </references>
      </pivotArea>
    </chartFormat>
    <chartFormat chart="0" format="74">
      <pivotArea type="data" outline="0" fieldPosition="0">
        <references count="2">
          <reference field="4294967294" count="1" selected="0">
            <x v="1"/>
          </reference>
          <reference field="2" count="1" selected="0">
            <x v="6"/>
          </reference>
        </references>
      </pivotArea>
    </chartFormat>
    <chartFormat chart="0" format="75">
      <pivotArea type="data" outline="0" fieldPosition="0">
        <references count="2">
          <reference field="4294967294" count="1" selected="0">
            <x v="1"/>
          </reference>
          <reference field="2" count="1" selected="0">
            <x v="11"/>
          </reference>
        </references>
      </pivotArea>
    </chartFormat>
    <chartFormat chart="0" format="76">
      <pivotArea type="data" outline="0" fieldPosition="0">
        <references count="2">
          <reference field="4294967294" count="1" selected="0">
            <x v="1"/>
          </reference>
          <reference field="2" count="1" selected="0">
            <x v="8"/>
          </reference>
        </references>
      </pivotArea>
    </chartFormat>
    <chartFormat chart="0" format="77">
      <pivotArea type="data" outline="0" fieldPosition="0">
        <references count="2">
          <reference field="4294967294" count="1" selected="0">
            <x v="1"/>
          </reference>
          <reference field="2" count="1" selected="0">
            <x v="15"/>
          </reference>
        </references>
      </pivotArea>
    </chartFormat>
    <chartFormat chart="0" format="78">
      <pivotArea type="data" outline="0" fieldPosition="0">
        <references count="2">
          <reference field="4294967294" count="1" selected="0">
            <x v="1"/>
          </reference>
          <reference field="2" count="1" selected="0">
            <x v="17"/>
          </reference>
        </references>
      </pivotArea>
    </chartFormat>
    <chartFormat chart="0" format="79">
      <pivotArea type="data" outline="0" fieldPosition="0">
        <references count="2">
          <reference field="4294967294" count="1" selected="0">
            <x v="1"/>
          </reference>
          <reference field="2" count="1" selected="0">
            <x v="7"/>
          </reference>
        </references>
      </pivotArea>
    </chartFormat>
    <chartFormat chart="0" format="80">
      <pivotArea type="data" outline="0" fieldPosition="0">
        <references count="2">
          <reference field="4294967294" count="1" selected="0">
            <x v="1"/>
          </reference>
          <reference field="2" count="1" selected="0">
            <x v="14"/>
          </reference>
        </references>
      </pivotArea>
    </chartFormat>
    <chartFormat chart="0" format="81">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3" rowHeaderCaption="Categoria">
  <location ref="C29:E47" firstHeaderRow="0" firstDataRow="1" firstDataCol="1"/>
  <pivotFields count="9">
    <pivotField showAll="0"/>
    <pivotField showAll="0"/>
    <pivotField axis="axisRow" showAll="0" sortType="descending">
      <items count="26">
        <item x="15"/>
        <item x="3"/>
        <item x="10"/>
        <item x="7"/>
        <item x="11"/>
        <item x="6"/>
        <item x="14"/>
        <item m="1" x="19"/>
        <item x="4"/>
        <item x="5"/>
        <item x="2"/>
        <item x="13"/>
        <item x="8"/>
        <item x="0"/>
        <item m="1" x="22"/>
        <item m="1" x="20"/>
        <item m="1" x="24"/>
        <item m="1" x="23"/>
        <item x="9"/>
        <item m="1" x="18"/>
        <item x="16"/>
        <item x="1"/>
        <item m="1" x="21"/>
        <item m="1" x="17"/>
        <item x="12"/>
        <item t="default"/>
      </items>
      <autoSortScope>
        <pivotArea dataOnly="0" outline="0" fieldPosition="0">
          <references count="1">
            <reference field="4294967294" count="1" selected="0">
              <x v="1"/>
            </reference>
          </references>
        </pivotArea>
      </autoSortScope>
    </pivotField>
    <pivotField showAll="0"/>
    <pivotField showAll="0"/>
    <pivotField dataField="1" numFmtId="165" showAll="0"/>
    <pivotField showAll="0"/>
    <pivotField numFmtId="169" showAll="0"/>
    <pivotField showAll="0"/>
  </pivotFields>
  <rowFields count="1">
    <field x="2"/>
  </rowFields>
  <rowItems count="18">
    <i>
      <x v="10"/>
    </i>
    <i>
      <x v="21"/>
    </i>
    <i>
      <x v="1"/>
    </i>
    <i>
      <x v="5"/>
    </i>
    <i>
      <x v="18"/>
    </i>
    <i>
      <x v="3"/>
    </i>
    <i>
      <x v="2"/>
    </i>
    <i>
      <x v="11"/>
    </i>
    <i>
      <x v="4"/>
    </i>
    <i>
      <x v="13"/>
    </i>
    <i>
      <x v="6"/>
    </i>
    <i>
      <x/>
    </i>
    <i>
      <x v="8"/>
    </i>
    <i>
      <x v="12"/>
    </i>
    <i>
      <x v="24"/>
    </i>
    <i>
      <x v="9"/>
    </i>
    <i>
      <x v="20"/>
    </i>
    <i t="grand">
      <x/>
    </i>
  </rowItems>
  <colFields count="1">
    <field x="-2"/>
  </colFields>
  <colItems count="2">
    <i>
      <x/>
    </i>
    <i i="1">
      <x v="1"/>
    </i>
  </colItems>
  <dataFields count="2">
    <dataField name="Total" fld="5" baseField="2" baseItem="0"/>
    <dataField name="Porcentaje" fld="5" showDataAs="percentOfTotal" baseField="2" baseItem="0" numFmtId="10"/>
  </dataFields>
  <formats count="7">
    <format dxfId="17">
      <pivotArea grandRow="1" outline="0" collapsedLevelsAreSubtotals="1" fieldPosition="0"/>
    </format>
    <format dxfId="16">
      <pivotArea dataOnly="0" labelOnly="1" grandRow="1" outline="0" fieldPosition="0"/>
    </format>
    <format dxfId="15">
      <pivotArea grandRow="1" outline="0" collapsedLevelsAreSubtotals="1" fieldPosition="0"/>
    </format>
    <format dxfId="14">
      <pivotArea dataOnly="0" labelOnly="1" grandRow="1" outline="0" fieldPosition="0"/>
    </format>
    <format dxfId="13">
      <pivotArea field="2" grandRow="1" outline="0" collapsedLevelsAreSubtotals="1" axis="axisRow" fieldPosition="0">
        <references count="1">
          <reference field="4294967294" count="1" selected="0">
            <x v="0"/>
          </reference>
        </references>
      </pivotArea>
    </format>
    <format dxfId="12">
      <pivotArea field="2" grandRow="1" outline="0" collapsedLevelsAreSubtotals="1" axis="axisRow" fieldPosition="0">
        <references count="1">
          <reference field="4294967294" count="1" selected="0">
            <x v="0"/>
          </reference>
        </references>
      </pivotArea>
    </format>
    <format dxfId="11">
      <pivotArea field="2" grandRow="1" outline="0" collapsedLevelsAreSubtotals="1" axis="axisRow" fieldPosition="0">
        <references count="1">
          <reference field="4294967294" count="1" selected="0">
            <x v="0"/>
          </reference>
        </references>
      </pivotArea>
    </format>
  </formats>
  <chartFormats count="36">
    <chartFormat chart="0" format="98" series="1">
      <pivotArea type="data" outline="0" fieldPosition="0">
        <references count="1">
          <reference field="4294967294" count="1" selected="0">
            <x v="0"/>
          </reference>
        </references>
      </pivotArea>
    </chartFormat>
    <chartFormat chart="0" format="99" series="1">
      <pivotArea type="data" outline="0" fieldPosition="0">
        <references count="1">
          <reference field="4294967294" count="1" selected="0">
            <x v="1"/>
          </reference>
        </references>
      </pivotArea>
    </chartFormat>
    <chartFormat chart="0" format="100">
      <pivotArea type="data" outline="0" fieldPosition="0">
        <references count="2">
          <reference field="4294967294" count="1" selected="0">
            <x v="0"/>
          </reference>
          <reference field="2" count="1" selected="0">
            <x v="10"/>
          </reference>
        </references>
      </pivotArea>
    </chartFormat>
    <chartFormat chart="0" format="101">
      <pivotArea type="data" outline="0" fieldPosition="0">
        <references count="2">
          <reference field="4294967294" count="1" selected="0">
            <x v="0"/>
          </reference>
          <reference field="2" count="1" selected="0">
            <x v="21"/>
          </reference>
        </references>
      </pivotArea>
    </chartFormat>
    <chartFormat chart="0" format="102">
      <pivotArea type="data" outline="0" fieldPosition="0">
        <references count="2">
          <reference field="4294967294" count="1" selected="0">
            <x v="0"/>
          </reference>
          <reference field="2" count="1" selected="0">
            <x v="1"/>
          </reference>
        </references>
      </pivotArea>
    </chartFormat>
    <chartFormat chart="0" format="103">
      <pivotArea type="data" outline="0" fieldPosition="0">
        <references count="2">
          <reference field="4294967294" count="1" selected="0">
            <x v="0"/>
          </reference>
          <reference field="2" count="1" selected="0">
            <x v="5"/>
          </reference>
        </references>
      </pivotArea>
    </chartFormat>
    <chartFormat chart="0" format="104">
      <pivotArea type="data" outline="0" fieldPosition="0">
        <references count="2">
          <reference field="4294967294" count="1" selected="0">
            <x v="0"/>
          </reference>
          <reference field="2" count="1" selected="0">
            <x v="18"/>
          </reference>
        </references>
      </pivotArea>
    </chartFormat>
    <chartFormat chart="0" format="105">
      <pivotArea type="data" outline="0" fieldPosition="0">
        <references count="2">
          <reference field="4294967294" count="1" selected="0">
            <x v="0"/>
          </reference>
          <reference field="2" count="1" selected="0">
            <x v="3"/>
          </reference>
        </references>
      </pivotArea>
    </chartFormat>
    <chartFormat chart="0" format="106">
      <pivotArea type="data" outline="0" fieldPosition="0">
        <references count="2">
          <reference field="4294967294" count="1" selected="0">
            <x v="0"/>
          </reference>
          <reference field="2" count="1" selected="0">
            <x v="2"/>
          </reference>
        </references>
      </pivotArea>
    </chartFormat>
    <chartFormat chart="0" format="107">
      <pivotArea type="data" outline="0" fieldPosition="0">
        <references count="2">
          <reference field="4294967294" count="1" selected="0">
            <x v="0"/>
          </reference>
          <reference field="2" count="1" selected="0">
            <x v="11"/>
          </reference>
        </references>
      </pivotArea>
    </chartFormat>
    <chartFormat chart="0" format="108">
      <pivotArea type="data" outline="0" fieldPosition="0">
        <references count="2">
          <reference field="4294967294" count="1" selected="0">
            <x v="0"/>
          </reference>
          <reference field="2" count="1" selected="0">
            <x v="4"/>
          </reference>
        </references>
      </pivotArea>
    </chartFormat>
    <chartFormat chart="0" format="109">
      <pivotArea type="data" outline="0" fieldPosition="0">
        <references count="2">
          <reference field="4294967294" count="1" selected="0">
            <x v="0"/>
          </reference>
          <reference field="2" count="1" selected="0">
            <x v="13"/>
          </reference>
        </references>
      </pivotArea>
    </chartFormat>
    <chartFormat chart="0" format="110">
      <pivotArea type="data" outline="0" fieldPosition="0">
        <references count="2">
          <reference field="4294967294" count="1" selected="0">
            <x v="0"/>
          </reference>
          <reference field="2" count="1" selected="0">
            <x v="6"/>
          </reference>
        </references>
      </pivotArea>
    </chartFormat>
    <chartFormat chart="0" format="111">
      <pivotArea type="data" outline="0" fieldPosition="0">
        <references count="2">
          <reference field="4294967294" count="1" selected="0">
            <x v="0"/>
          </reference>
          <reference field="2" count="1" selected="0">
            <x v="0"/>
          </reference>
        </references>
      </pivotArea>
    </chartFormat>
    <chartFormat chart="0" format="112">
      <pivotArea type="data" outline="0" fieldPosition="0">
        <references count="2">
          <reference field="4294967294" count="1" selected="0">
            <x v="0"/>
          </reference>
          <reference field="2" count="1" selected="0">
            <x v="8"/>
          </reference>
        </references>
      </pivotArea>
    </chartFormat>
    <chartFormat chart="0" format="113">
      <pivotArea type="data" outline="0" fieldPosition="0">
        <references count="2">
          <reference field="4294967294" count="1" selected="0">
            <x v="0"/>
          </reference>
          <reference field="2" count="1" selected="0">
            <x v="12"/>
          </reference>
        </references>
      </pivotArea>
    </chartFormat>
    <chartFormat chart="0" format="114">
      <pivotArea type="data" outline="0" fieldPosition="0">
        <references count="2">
          <reference field="4294967294" count="1" selected="0">
            <x v="0"/>
          </reference>
          <reference field="2" count="1" selected="0">
            <x v="24"/>
          </reference>
        </references>
      </pivotArea>
    </chartFormat>
    <chartFormat chart="0" format="115">
      <pivotArea type="data" outline="0" fieldPosition="0">
        <references count="2">
          <reference field="4294967294" count="1" selected="0">
            <x v="0"/>
          </reference>
          <reference field="2" count="1" selected="0">
            <x v="9"/>
          </reference>
        </references>
      </pivotArea>
    </chartFormat>
    <chartFormat chart="0" format="116">
      <pivotArea type="data" outline="0" fieldPosition="0">
        <references count="2">
          <reference field="4294967294" count="1" selected="0">
            <x v="0"/>
          </reference>
          <reference field="2" count="1" selected="0">
            <x v="20"/>
          </reference>
        </references>
      </pivotArea>
    </chartFormat>
    <chartFormat chart="0" format="117">
      <pivotArea type="data" outline="0" fieldPosition="0">
        <references count="2">
          <reference field="4294967294" count="1" selected="0">
            <x v="1"/>
          </reference>
          <reference field="2" count="1" selected="0">
            <x v="10"/>
          </reference>
        </references>
      </pivotArea>
    </chartFormat>
    <chartFormat chart="0" format="118">
      <pivotArea type="data" outline="0" fieldPosition="0">
        <references count="2">
          <reference field="4294967294" count="1" selected="0">
            <x v="1"/>
          </reference>
          <reference field="2" count="1" selected="0">
            <x v="21"/>
          </reference>
        </references>
      </pivotArea>
    </chartFormat>
    <chartFormat chart="0" format="119">
      <pivotArea type="data" outline="0" fieldPosition="0">
        <references count="2">
          <reference field="4294967294" count="1" selected="0">
            <x v="1"/>
          </reference>
          <reference field="2" count="1" selected="0">
            <x v="1"/>
          </reference>
        </references>
      </pivotArea>
    </chartFormat>
    <chartFormat chart="0" format="120">
      <pivotArea type="data" outline="0" fieldPosition="0">
        <references count="2">
          <reference field="4294967294" count="1" selected="0">
            <x v="1"/>
          </reference>
          <reference field="2" count="1" selected="0">
            <x v="5"/>
          </reference>
        </references>
      </pivotArea>
    </chartFormat>
    <chartFormat chart="0" format="121">
      <pivotArea type="data" outline="0" fieldPosition="0">
        <references count="2">
          <reference field="4294967294" count="1" selected="0">
            <x v="1"/>
          </reference>
          <reference field="2" count="1" selected="0">
            <x v="18"/>
          </reference>
        </references>
      </pivotArea>
    </chartFormat>
    <chartFormat chart="0" format="122">
      <pivotArea type="data" outline="0" fieldPosition="0">
        <references count="2">
          <reference field="4294967294" count="1" selected="0">
            <x v="1"/>
          </reference>
          <reference field="2" count="1" selected="0">
            <x v="3"/>
          </reference>
        </references>
      </pivotArea>
    </chartFormat>
    <chartFormat chart="0" format="123">
      <pivotArea type="data" outline="0" fieldPosition="0">
        <references count="2">
          <reference field="4294967294" count="1" selected="0">
            <x v="1"/>
          </reference>
          <reference field="2" count="1" selected="0">
            <x v="2"/>
          </reference>
        </references>
      </pivotArea>
    </chartFormat>
    <chartFormat chart="0" format="124">
      <pivotArea type="data" outline="0" fieldPosition="0">
        <references count="2">
          <reference field="4294967294" count="1" selected="0">
            <x v="1"/>
          </reference>
          <reference field="2" count="1" selected="0">
            <x v="11"/>
          </reference>
        </references>
      </pivotArea>
    </chartFormat>
    <chartFormat chart="0" format="125">
      <pivotArea type="data" outline="0" fieldPosition="0">
        <references count="2">
          <reference field="4294967294" count="1" selected="0">
            <x v="1"/>
          </reference>
          <reference field="2" count="1" selected="0">
            <x v="4"/>
          </reference>
        </references>
      </pivotArea>
    </chartFormat>
    <chartFormat chart="0" format="126">
      <pivotArea type="data" outline="0" fieldPosition="0">
        <references count="2">
          <reference field="4294967294" count="1" selected="0">
            <x v="1"/>
          </reference>
          <reference field="2" count="1" selected="0">
            <x v="13"/>
          </reference>
        </references>
      </pivotArea>
    </chartFormat>
    <chartFormat chart="0" format="127">
      <pivotArea type="data" outline="0" fieldPosition="0">
        <references count="2">
          <reference field="4294967294" count="1" selected="0">
            <x v="1"/>
          </reference>
          <reference field="2" count="1" selected="0">
            <x v="6"/>
          </reference>
        </references>
      </pivotArea>
    </chartFormat>
    <chartFormat chart="0" format="128">
      <pivotArea type="data" outline="0" fieldPosition="0">
        <references count="2">
          <reference field="4294967294" count="1" selected="0">
            <x v="1"/>
          </reference>
          <reference field="2" count="1" selected="0">
            <x v="0"/>
          </reference>
        </references>
      </pivotArea>
    </chartFormat>
    <chartFormat chart="0" format="129">
      <pivotArea type="data" outline="0" fieldPosition="0">
        <references count="2">
          <reference field="4294967294" count="1" selected="0">
            <x v="1"/>
          </reference>
          <reference field="2" count="1" selected="0">
            <x v="8"/>
          </reference>
        </references>
      </pivotArea>
    </chartFormat>
    <chartFormat chart="0" format="130">
      <pivotArea type="data" outline="0" fieldPosition="0">
        <references count="2">
          <reference field="4294967294" count="1" selected="0">
            <x v="1"/>
          </reference>
          <reference field="2" count="1" selected="0">
            <x v="12"/>
          </reference>
        </references>
      </pivotArea>
    </chartFormat>
    <chartFormat chart="0" format="131">
      <pivotArea type="data" outline="0" fieldPosition="0">
        <references count="2">
          <reference field="4294967294" count="1" selected="0">
            <x v="1"/>
          </reference>
          <reference field="2" count="1" selected="0">
            <x v="24"/>
          </reference>
        </references>
      </pivotArea>
    </chartFormat>
    <chartFormat chart="0" format="132">
      <pivotArea type="data" outline="0" fieldPosition="0">
        <references count="2">
          <reference field="4294967294" count="1" selected="0">
            <x v="1"/>
          </reference>
          <reference field="2" count="1" selected="0">
            <x v="9"/>
          </reference>
        </references>
      </pivotArea>
    </chartFormat>
    <chartFormat chart="0" format="133">
      <pivotArea type="data" outline="0" fieldPosition="0">
        <references count="2">
          <reference field="4294967294" count="1" selected="0">
            <x v="1"/>
          </reference>
          <reference field="2"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531F4D-B15B-4143-B1B2-47890C38F864}" name="TablaDinámica2"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8" rowHeaderCaption="Categoria">
  <location ref="C28:E49" firstHeaderRow="0" firstDataRow="1" firstDataCol="1"/>
  <pivotFields count="9">
    <pivotField showAll="0"/>
    <pivotField showAll="0"/>
    <pivotField axis="axisRow" showAll="0" sortType="descending">
      <items count="43">
        <item m="1" x="38"/>
        <item m="1" x="20"/>
        <item m="1" x="40"/>
        <item m="1" x="37"/>
        <item x="11"/>
        <item m="1" x="41"/>
        <item x="2"/>
        <item m="1" x="39"/>
        <item x="15"/>
        <item x="7"/>
        <item x="16"/>
        <item x="19"/>
        <item x="12"/>
        <item m="1" x="35"/>
        <item m="1" x="34"/>
        <item m="1" x="36"/>
        <item x="13"/>
        <item x="3"/>
        <item x="10"/>
        <item m="1" x="30"/>
        <item m="1" x="32"/>
        <item m="1" x="29"/>
        <item m="1" x="33"/>
        <item m="1" x="31"/>
        <item x="9"/>
        <item x="18"/>
        <item x="17"/>
        <item m="1" x="28"/>
        <item x="5"/>
        <item x="8"/>
        <item m="1" x="27"/>
        <item m="1" x="26"/>
        <item x="0"/>
        <item m="1" x="25"/>
        <item m="1" x="23"/>
        <item x="1"/>
        <item x="6"/>
        <item m="1" x="21"/>
        <item m="1" x="22"/>
        <item x="4"/>
        <item m="1" x="24"/>
        <item x="1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pivotField numFmtId="14" showAll="0"/>
    <pivotField showAll="0"/>
  </pivotFields>
  <rowFields count="1">
    <field x="2"/>
  </rowFields>
  <rowItems count="21">
    <i>
      <x v="24"/>
    </i>
    <i>
      <x v="41"/>
    </i>
    <i>
      <x v="6"/>
    </i>
    <i>
      <x v="39"/>
    </i>
    <i>
      <x v="35"/>
    </i>
    <i>
      <x v="28"/>
    </i>
    <i>
      <x v="18"/>
    </i>
    <i>
      <x v="9"/>
    </i>
    <i>
      <x v="8"/>
    </i>
    <i>
      <x v="26"/>
    </i>
    <i>
      <x v="10"/>
    </i>
    <i>
      <x v="25"/>
    </i>
    <i>
      <x v="17"/>
    </i>
    <i>
      <x v="32"/>
    </i>
    <i>
      <x v="11"/>
    </i>
    <i>
      <x v="4"/>
    </i>
    <i>
      <x v="36"/>
    </i>
    <i>
      <x v="29"/>
    </i>
    <i>
      <x v="12"/>
    </i>
    <i>
      <x v="16"/>
    </i>
    <i t="grand">
      <x/>
    </i>
  </rowItems>
  <colFields count="1">
    <field x="-2"/>
  </colFields>
  <colItems count="2">
    <i>
      <x/>
    </i>
    <i i="1">
      <x v="1"/>
    </i>
  </colItems>
  <dataFields count="2">
    <dataField name="Total" fld="5" baseField="2" baseItem="24" numFmtId="165"/>
    <dataField name="Porcentaje" fld="5" showDataAs="percentOfTotal" baseField="2" baseItem="0" numFmtId="10"/>
  </dataFields>
  <formats count="11">
    <format dxfId="10">
      <pivotArea type="all" dataOnly="0" outline="0" fieldPosition="0"/>
    </format>
    <format dxfId="9">
      <pivotArea outline="0" collapsedLevelsAreSubtotals="1"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outline="0" fieldPosition="0">
        <references count="1">
          <reference field="4294967294" count="2">
            <x v="0"/>
            <x v="1"/>
          </reference>
        </references>
      </pivotArea>
    </format>
    <format dxfId="4">
      <pivotArea field="2" type="button" dataOnly="0" labelOnly="1" outline="0" axis="axisRow" fieldPosition="0"/>
    </format>
    <format dxfId="3">
      <pivotArea dataOnly="0" labelOnly="1" outline="0" fieldPosition="0">
        <references count="1">
          <reference field="4294967294" count="2">
            <x v="0"/>
            <x v="1"/>
          </reference>
        </references>
      </pivotArea>
    </format>
    <format dxfId="2">
      <pivotArea grandRow="1" outline="0" collapsedLevelsAreSubtotals="1" fieldPosition="0"/>
    </format>
    <format dxfId="1">
      <pivotArea dataOnly="0" labelOnly="1" grandRow="1" outline="0" fieldPosition="0"/>
    </format>
    <format dxfId="0">
      <pivotArea field="2" grandRow="1" outline="0" collapsedLevelsAreSubtotals="1" axis="axisRow" fieldPosition="0">
        <references count="1">
          <reference field="4294967294" count="1" selected="0">
            <x v="1"/>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24"/>
          </reference>
        </references>
      </pivotArea>
    </chartFormat>
    <chartFormat chart="0" format="3">
      <pivotArea type="data" outline="0" fieldPosition="0">
        <references count="2">
          <reference field="4294967294" count="1" selected="0">
            <x v="0"/>
          </reference>
          <reference field="2" count="1" selected="0">
            <x v="41"/>
          </reference>
        </references>
      </pivotArea>
    </chartFormat>
    <chartFormat chart="0" format="4">
      <pivotArea type="data" outline="0" fieldPosition="0">
        <references count="2">
          <reference field="4294967294" count="1" selected="0">
            <x v="0"/>
          </reference>
          <reference field="2" count="1" selected="0">
            <x v="6"/>
          </reference>
        </references>
      </pivotArea>
    </chartFormat>
    <chartFormat chart="0" format="5">
      <pivotArea type="data" outline="0" fieldPosition="0">
        <references count="2">
          <reference field="4294967294" count="1" selected="0">
            <x v="0"/>
          </reference>
          <reference field="2" count="1" selected="0">
            <x v="39"/>
          </reference>
        </references>
      </pivotArea>
    </chartFormat>
    <chartFormat chart="0" format="6">
      <pivotArea type="data" outline="0" fieldPosition="0">
        <references count="2">
          <reference field="4294967294" count="1" selected="0">
            <x v="0"/>
          </reference>
          <reference field="2" count="1" selected="0">
            <x v="35"/>
          </reference>
        </references>
      </pivotArea>
    </chartFormat>
    <chartFormat chart="0" format="7">
      <pivotArea type="data" outline="0" fieldPosition="0">
        <references count="2">
          <reference field="4294967294" count="1" selected="0">
            <x v="0"/>
          </reference>
          <reference field="2" count="1" selected="0">
            <x v="28"/>
          </reference>
        </references>
      </pivotArea>
    </chartFormat>
    <chartFormat chart="0" format="8">
      <pivotArea type="data" outline="0" fieldPosition="0">
        <references count="2">
          <reference field="4294967294" count="1" selected="0">
            <x v="0"/>
          </reference>
          <reference field="2" count="1" selected="0">
            <x v="9"/>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18"/>
          </reference>
        </references>
      </pivotArea>
    </chartFormat>
    <chartFormat chart="0" format="11">
      <pivotArea type="data" outline="0" fieldPosition="0">
        <references count="2">
          <reference field="4294967294" count="1" selected="0">
            <x v="0"/>
          </reference>
          <reference field="2" count="1" selected="0">
            <x v="26"/>
          </reference>
        </references>
      </pivotArea>
    </chartFormat>
    <chartFormat chart="0" format="12">
      <pivotArea type="data" outline="0" fieldPosition="0">
        <references count="2">
          <reference field="4294967294" count="1" selected="0">
            <x v="0"/>
          </reference>
          <reference field="2" count="1" selected="0">
            <x v="10"/>
          </reference>
        </references>
      </pivotArea>
    </chartFormat>
    <chartFormat chart="0" format="13">
      <pivotArea type="data" outline="0" fieldPosition="0">
        <references count="2">
          <reference field="4294967294" count="1" selected="0">
            <x v="0"/>
          </reference>
          <reference field="2" count="1" selected="0">
            <x v="25"/>
          </reference>
        </references>
      </pivotArea>
    </chartFormat>
    <chartFormat chart="0" format="14">
      <pivotArea type="data" outline="0" fieldPosition="0">
        <references count="2">
          <reference field="4294967294" count="1" selected="0">
            <x v="0"/>
          </reference>
          <reference field="2" count="1" selected="0">
            <x v="17"/>
          </reference>
        </references>
      </pivotArea>
    </chartFormat>
    <chartFormat chart="0" format="15">
      <pivotArea type="data" outline="0" fieldPosition="0">
        <references count="2">
          <reference field="4294967294" count="1" selected="0">
            <x v="0"/>
          </reference>
          <reference field="2" count="1" selected="0">
            <x v="32"/>
          </reference>
        </references>
      </pivotArea>
    </chartFormat>
    <chartFormat chart="0" format="16">
      <pivotArea type="data" outline="0" fieldPosition="0">
        <references count="2">
          <reference field="4294967294" count="1" selected="0">
            <x v="0"/>
          </reference>
          <reference field="2" count="1" selected="0">
            <x v="11"/>
          </reference>
        </references>
      </pivotArea>
    </chartFormat>
    <chartFormat chart="0" format="17">
      <pivotArea type="data" outline="0" fieldPosition="0">
        <references count="2">
          <reference field="4294967294" count="1" selected="0">
            <x v="0"/>
          </reference>
          <reference field="2" count="1" selected="0">
            <x v="4"/>
          </reference>
        </references>
      </pivotArea>
    </chartFormat>
    <chartFormat chart="0" format="18">
      <pivotArea type="data" outline="0" fieldPosition="0">
        <references count="2">
          <reference field="4294967294" count="1" selected="0">
            <x v="0"/>
          </reference>
          <reference field="2" count="1" selected="0">
            <x v="36"/>
          </reference>
        </references>
      </pivotArea>
    </chartFormat>
    <chartFormat chart="0" format="19">
      <pivotArea type="data" outline="0" fieldPosition="0">
        <references count="2">
          <reference field="4294967294" count="1" selected="0">
            <x v="0"/>
          </reference>
          <reference field="2" count="1" selected="0">
            <x v="29"/>
          </reference>
        </references>
      </pivotArea>
    </chartFormat>
    <chartFormat chart="0" format="20">
      <pivotArea type="data" outline="0" fieldPosition="0">
        <references count="2">
          <reference field="4294967294" count="1" selected="0">
            <x v="0"/>
          </reference>
          <reference field="2" count="1" selected="0">
            <x v="12"/>
          </reference>
        </references>
      </pivotArea>
    </chartFormat>
    <chartFormat chart="0" format="21">
      <pivotArea type="data" outline="0" fieldPosition="0">
        <references count="2">
          <reference field="4294967294" count="1" selected="0">
            <x v="0"/>
          </reference>
          <reference field="2" count="1" selected="0">
            <x v="16"/>
          </reference>
        </references>
      </pivotArea>
    </chartFormat>
    <chartFormat chart="0" format="22">
      <pivotArea type="data" outline="0" fieldPosition="0">
        <references count="2">
          <reference field="4294967294" count="1" selected="0">
            <x v="1"/>
          </reference>
          <reference field="2" count="1" selected="0">
            <x v="24"/>
          </reference>
        </references>
      </pivotArea>
    </chartFormat>
    <chartFormat chart="0" format="23">
      <pivotArea type="data" outline="0" fieldPosition="0">
        <references count="2">
          <reference field="4294967294" count="1" selected="0">
            <x v="1"/>
          </reference>
          <reference field="2" count="1" selected="0">
            <x v="41"/>
          </reference>
        </references>
      </pivotArea>
    </chartFormat>
    <chartFormat chart="0" format="24">
      <pivotArea type="data" outline="0" fieldPosition="0">
        <references count="2">
          <reference field="4294967294" count="1" selected="0">
            <x v="1"/>
          </reference>
          <reference field="2" count="1" selected="0">
            <x v="6"/>
          </reference>
        </references>
      </pivotArea>
    </chartFormat>
    <chartFormat chart="0" format="25">
      <pivotArea type="data" outline="0" fieldPosition="0">
        <references count="2">
          <reference field="4294967294" count="1" selected="0">
            <x v="1"/>
          </reference>
          <reference field="2" count="1" selected="0">
            <x v="39"/>
          </reference>
        </references>
      </pivotArea>
    </chartFormat>
    <chartFormat chart="0" format="26">
      <pivotArea type="data" outline="0" fieldPosition="0">
        <references count="2">
          <reference field="4294967294" count="1" selected="0">
            <x v="1"/>
          </reference>
          <reference field="2" count="1" selected="0">
            <x v="35"/>
          </reference>
        </references>
      </pivotArea>
    </chartFormat>
    <chartFormat chart="0" format="27">
      <pivotArea type="data" outline="0" fieldPosition="0">
        <references count="2">
          <reference field="4294967294" count="1" selected="0">
            <x v="1"/>
          </reference>
          <reference field="2" count="1" selected="0">
            <x v="28"/>
          </reference>
        </references>
      </pivotArea>
    </chartFormat>
    <chartFormat chart="0" format="28">
      <pivotArea type="data" outline="0" fieldPosition="0">
        <references count="2">
          <reference field="4294967294" count="1" selected="0">
            <x v="1"/>
          </reference>
          <reference field="2" count="1" selected="0">
            <x v="9"/>
          </reference>
        </references>
      </pivotArea>
    </chartFormat>
    <chartFormat chart="0" format="29">
      <pivotArea type="data" outline="0" fieldPosition="0">
        <references count="2">
          <reference field="4294967294" count="1" selected="0">
            <x v="1"/>
          </reference>
          <reference field="2" count="1" selected="0">
            <x v="8"/>
          </reference>
        </references>
      </pivotArea>
    </chartFormat>
    <chartFormat chart="0" format="30">
      <pivotArea type="data" outline="0" fieldPosition="0">
        <references count="2">
          <reference field="4294967294" count="1" selected="0">
            <x v="1"/>
          </reference>
          <reference field="2" count="1" selected="0">
            <x v="18"/>
          </reference>
        </references>
      </pivotArea>
    </chartFormat>
    <chartFormat chart="0" format="31">
      <pivotArea type="data" outline="0" fieldPosition="0">
        <references count="2">
          <reference field="4294967294" count="1" selected="0">
            <x v="1"/>
          </reference>
          <reference field="2" count="1" selected="0">
            <x v="26"/>
          </reference>
        </references>
      </pivotArea>
    </chartFormat>
    <chartFormat chart="0" format="32">
      <pivotArea type="data" outline="0" fieldPosition="0">
        <references count="2">
          <reference field="4294967294" count="1" selected="0">
            <x v="1"/>
          </reference>
          <reference field="2" count="1" selected="0">
            <x v="10"/>
          </reference>
        </references>
      </pivotArea>
    </chartFormat>
    <chartFormat chart="0" format="33">
      <pivotArea type="data" outline="0" fieldPosition="0">
        <references count="2">
          <reference field="4294967294" count="1" selected="0">
            <x v="1"/>
          </reference>
          <reference field="2" count="1" selected="0">
            <x v="25"/>
          </reference>
        </references>
      </pivotArea>
    </chartFormat>
    <chartFormat chart="0" format="34">
      <pivotArea type="data" outline="0" fieldPosition="0">
        <references count="2">
          <reference field="4294967294" count="1" selected="0">
            <x v="1"/>
          </reference>
          <reference field="2" count="1" selected="0">
            <x v="17"/>
          </reference>
        </references>
      </pivotArea>
    </chartFormat>
    <chartFormat chart="0" format="35">
      <pivotArea type="data" outline="0" fieldPosition="0">
        <references count="2">
          <reference field="4294967294" count="1" selected="0">
            <x v="1"/>
          </reference>
          <reference field="2" count="1" selected="0">
            <x v="32"/>
          </reference>
        </references>
      </pivotArea>
    </chartFormat>
    <chartFormat chart="0" format="36">
      <pivotArea type="data" outline="0" fieldPosition="0">
        <references count="2">
          <reference field="4294967294" count="1" selected="0">
            <x v="1"/>
          </reference>
          <reference field="2" count="1" selected="0">
            <x v="11"/>
          </reference>
        </references>
      </pivotArea>
    </chartFormat>
    <chartFormat chart="0" format="37">
      <pivotArea type="data" outline="0" fieldPosition="0">
        <references count="2">
          <reference field="4294967294" count="1" selected="0">
            <x v="1"/>
          </reference>
          <reference field="2" count="1" selected="0">
            <x v="4"/>
          </reference>
        </references>
      </pivotArea>
    </chartFormat>
    <chartFormat chart="0" format="38">
      <pivotArea type="data" outline="0" fieldPosition="0">
        <references count="2">
          <reference field="4294967294" count="1" selected="0">
            <x v="1"/>
          </reference>
          <reference field="2" count="1" selected="0">
            <x v="36"/>
          </reference>
        </references>
      </pivotArea>
    </chartFormat>
    <chartFormat chart="0" format="39">
      <pivotArea type="data" outline="0" fieldPosition="0">
        <references count="2">
          <reference field="4294967294" count="1" selected="0">
            <x v="1"/>
          </reference>
          <reference field="2" count="1" selected="0">
            <x v="29"/>
          </reference>
        </references>
      </pivotArea>
    </chartFormat>
    <chartFormat chart="0" format="40">
      <pivotArea type="data" outline="0" fieldPosition="0">
        <references count="2">
          <reference field="4294967294" count="1" selected="0">
            <x v="1"/>
          </reference>
          <reference field="2" count="1" selected="0">
            <x v="12"/>
          </reference>
        </references>
      </pivotArea>
    </chartFormat>
    <chartFormat chart="0" format="41">
      <pivotArea type="data" outline="0" fieldPosition="0">
        <references count="2">
          <reference field="4294967294" count="1" selected="0">
            <x v="1"/>
          </reference>
          <reference field="2"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D3113F-D1F8-4E10-B4A3-2BD6707C21C0}" name="TablaDinámica2"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C28:E48" firstHeaderRow="0" firstDataRow="1" firstDataCol="1"/>
  <pivotFields count="9">
    <pivotField showAll="0"/>
    <pivotField showAll="0"/>
    <pivotField axis="axisRow" showAll="0" sortType="descending">
      <items count="21">
        <item x="1"/>
        <item x="15"/>
        <item x="7"/>
        <item x="13"/>
        <item x="8"/>
        <item x="18"/>
        <item x="3"/>
        <item x="11"/>
        <item x="2"/>
        <item x="6"/>
        <item x="9"/>
        <item x="16"/>
        <item x="17"/>
        <item x="14"/>
        <item x="4"/>
        <item x="10"/>
        <item m="1" x="19"/>
        <item x="0"/>
        <item x="12"/>
        <item x="5"/>
        <item t="default"/>
      </items>
      <autoSortScope>
        <pivotArea dataOnly="0" outline="0" fieldPosition="0">
          <references count="1">
            <reference field="4294967294" count="1" selected="0">
              <x v="1"/>
            </reference>
          </references>
        </pivotArea>
      </autoSortScope>
    </pivotField>
    <pivotField showAll="0"/>
    <pivotField showAll="0"/>
    <pivotField dataField="1" numFmtId="165" showAll="0"/>
    <pivotField showAll="0"/>
    <pivotField numFmtId="14" showAll="0"/>
    <pivotField showAll="0"/>
  </pivotFields>
  <rowFields count="1">
    <field x="2"/>
  </rowFields>
  <rowItems count="20">
    <i>
      <x v="10"/>
    </i>
    <i>
      <x/>
    </i>
    <i>
      <x v="17"/>
    </i>
    <i>
      <x v="2"/>
    </i>
    <i>
      <x v="3"/>
    </i>
    <i>
      <x v="1"/>
    </i>
    <i>
      <x v="19"/>
    </i>
    <i>
      <x v="4"/>
    </i>
    <i>
      <x v="13"/>
    </i>
    <i>
      <x v="15"/>
    </i>
    <i>
      <x v="12"/>
    </i>
    <i>
      <x v="9"/>
    </i>
    <i>
      <x v="5"/>
    </i>
    <i>
      <x v="11"/>
    </i>
    <i>
      <x v="8"/>
    </i>
    <i>
      <x v="18"/>
    </i>
    <i>
      <x v="14"/>
    </i>
    <i>
      <x v="6"/>
    </i>
    <i>
      <x v="7"/>
    </i>
    <i t="grand">
      <x/>
    </i>
  </rowItems>
  <colFields count="1">
    <field x="-2"/>
  </colFields>
  <colItems count="2">
    <i>
      <x/>
    </i>
    <i i="1">
      <x v="1"/>
    </i>
  </colItems>
  <dataFields count="2">
    <dataField name="Total" fld="5" baseField="2" baseItem="0" numFmtId="165"/>
    <dataField name="Porcentaje" fld="5" showDataAs="percentOfTotal" baseField="2" baseItem="0" numFmtId="10"/>
  </dataFields>
  <chartFormats count="4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0"/>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7"/>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3"/>
          </reference>
        </references>
      </pivotArea>
    </chartFormat>
    <chartFormat chart="0" format="7">
      <pivotArea type="data" outline="0" fieldPosition="0">
        <references count="2">
          <reference field="4294967294" count="1" selected="0">
            <x v="0"/>
          </reference>
          <reference field="2" count="1" selected="0">
            <x v="1"/>
          </reference>
        </references>
      </pivotArea>
    </chartFormat>
    <chartFormat chart="0" format="8">
      <pivotArea type="data" outline="0" fieldPosition="0">
        <references count="2">
          <reference field="4294967294" count="1" selected="0">
            <x v="0"/>
          </reference>
          <reference field="2" count="1" selected="0">
            <x v="19"/>
          </reference>
        </references>
      </pivotArea>
    </chartFormat>
    <chartFormat chart="0" format="9">
      <pivotArea type="data" outline="0" fieldPosition="0">
        <references count="2">
          <reference field="4294967294" count="1" selected="0">
            <x v="0"/>
          </reference>
          <reference field="2" count="1" selected="0">
            <x v="4"/>
          </reference>
        </references>
      </pivotArea>
    </chartFormat>
    <chartFormat chart="0" format="10">
      <pivotArea type="data" outline="0" fieldPosition="0">
        <references count="2">
          <reference field="4294967294" count="1" selected="0">
            <x v="0"/>
          </reference>
          <reference field="2" count="1" selected="0">
            <x v="13"/>
          </reference>
        </references>
      </pivotArea>
    </chartFormat>
    <chartFormat chart="0" format="11">
      <pivotArea type="data" outline="0" fieldPosition="0">
        <references count="2">
          <reference field="4294967294" count="1" selected="0">
            <x v="0"/>
          </reference>
          <reference field="2" count="1" selected="0">
            <x v="15"/>
          </reference>
        </references>
      </pivotArea>
    </chartFormat>
    <chartFormat chart="0" format="12">
      <pivotArea type="data" outline="0" fieldPosition="0">
        <references count="2">
          <reference field="4294967294" count="1" selected="0">
            <x v="0"/>
          </reference>
          <reference field="2" count="1" selected="0">
            <x v="12"/>
          </reference>
        </references>
      </pivotArea>
    </chartFormat>
    <chartFormat chart="0" format="13">
      <pivotArea type="data" outline="0" fieldPosition="0">
        <references count="2">
          <reference field="4294967294" count="1" selected="0">
            <x v="0"/>
          </reference>
          <reference field="2" count="1" selected="0">
            <x v="9"/>
          </reference>
        </references>
      </pivotArea>
    </chartFormat>
    <chartFormat chart="0" format="14">
      <pivotArea type="data" outline="0" fieldPosition="0">
        <references count="2">
          <reference field="4294967294" count="1" selected="0">
            <x v="0"/>
          </reference>
          <reference field="2" count="1" selected="0">
            <x v="5"/>
          </reference>
        </references>
      </pivotArea>
    </chartFormat>
    <chartFormat chart="0" format="15">
      <pivotArea type="data" outline="0" fieldPosition="0">
        <references count="2">
          <reference field="4294967294" count="1" selected="0">
            <x v="0"/>
          </reference>
          <reference field="2" count="1" selected="0">
            <x v="11"/>
          </reference>
        </references>
      </pivotArea>
    </chartFormat>
    <chartFormat chart="0" format="16">
      <pivotArea type="data" outline="0" fieldPosition="0">
        <references count="2">
          <reference field="4294967294" count="1" selected="0">
            <x v="0"/>
          </reference>
          <reference field="2" count="1" selected="0">
            <x v="8"/>
          </reference>
        </references>
      </pivotArea>
    </chartFormat>
    <chartFormat chart="0" format="17">
      <pivotArea type="data" outline="0" fieldPosition="0">
        <references count="2">
          <reference field="4294967294" count="1" selected="0">
            <x v="0"/>
          </reference>
          <reference field="2" count="1" selected="0">
            <x v="18"/>
          </reference>
        </references>
      </pivotArea>
    </chartFormat>
    <chartFormat chart="0" format="18">
      <pivotArea type="data" outline="0" fieldPosition="0">
        <references count="2">
          <reference field="4294967294" count="1" selected="0">
            <x v="0"/>
          </reference>
          <reference field="2" count="1" selected="0">
            <x v="14"/>
          </reference>
        </references>
      </pivotArea>
    </chartFormat>
    <chartFormat chart="0" format="19">
      <pivotArea type="data" outline="0" fieldPosition="0">
        <references count="2">
          <reference field="4294967294" count="1" selected="0">
            <x v="0"/>
          </reference>
          <reference field="2" count="1" selected="0">
            <x v="6"/>
          </reference>
        </references>
      </pivotArea>
    </chartFormat>
    <chartFormat chart="0" format="20">
      <pivotArea type="data" outline="0" fieldPosition="0">
        <references count="2">
          <reference field="4294967294" count="1" selected="0">
            <x v="0"/>
          </reference>
          <reference field="2" count="1" selected="0">
            <x v="7"/>
          </reference>
        </references>
      </pivotArea>
    </chartFormat>
    <chartFormat chart="0" format="21">
      <pivotArea type="data" outline="0" fieldPosition="0">
        <references count="2">
          <reference field="4294967294" count="1" selected="0">
            <x v="1"/>
          </reference>
          <reference field="2" count="1" selected="0">
            <x v="10"/>
          </reference>
        </references>
      </pivotArea>
    </chartFormat>
    <chartFormat chart="0" format="22">
      <pivotArea type="data" outline="0" fieldPosition="0">
        <references count="2">
          <reference field="4294967294" count="1" selected="0">
            <x v="1"/>
          </reference>
          <reference field="2" count="1" selected="0">
            <x v="0"/>
          </reference>
        </references>
      </pivotArea>
    </chartFormat>
    <chartFormat chart="0" format="23">
      <pivotArea type="data" outline="0" fieldPosition="0">
        <references count="2">
          <reference field="4294967294" count="1" selected="0">
            <x v="1"/>
          </reference>
          <reference field="2" count="1" selected="0">
            <x v="17"/>
          </reference>
        </references>
      </pivotArea>
    </chartFormat>
    <chartFormat chart="0" format="24">
      <pivotArea type="data" outline="0" fieldPosition="0">
        <references count="2">
          <reference field="4294967294" count="1" selected="0">
            <x v="1"/>
          </reference>
          <reference field="2" count="1" selected="0">
            <x v="2"/>
          </reference>
        </references>
      </pivotArea>
    </chartFormat>
    <chartFormat chart="0" format="25">
      <pivotArea type="data" outline="0" fieldPosition="0">
        <references count="2">
          <reference field="4294967294" count="1" selected="0">
            <x v="1"/>
          </reference>
          <reference field="2" count="1" selected="0">
            <x v="3"/>
          </reference>
        </references>
      </pivotArea>
    </chartFormat>
    <chartFormat chart="0" format="26">
      <pivotArea type="data" outline="0" fieldPosition="0">
        <references count="2">
          <reference field="4294967294" count="1" selected="0">
            <x v="1"/>
          </reference>
          <reference field="2" count="1" selected="0">
            <x v="1"/>
          </reference>
        </references>
      </pivotArea>
    </chartFormat>
    <chartFormat chart="0" format="27">
      <pivotArea type="data" outline="0" fieldPosition="0">
        <references count="2">
          <reference field="4294967294" count="1" selected="0">
            <x v="1"/>
          </reference>
          <reference field="2" count="1" selected="0">
            <x v="19"/>
          </reference>
        </references>
      </pivotArea>
    </chartFormat>
    <chartFormat chart="0" format="28">
      <pivotArea type="data" outline="0" fieldPosition="0">
        <references count="2">
          <reference field="4294967294" count="1" selected="0">
            <x v="1"/>
          </reference>
          <reference field="2" count="1" selected="0">
            <x v="4"/>
          </reference>
        </references>
      </pivotArea>
    </chartFormat>
    <chartFormat chart="0" format="29">
      <pivotArea type="data" outline="0" fieldPosition="0">
        <references count="2">
          <reference field="4294967294" count="1" selected="0">
            <x v="1"/>
          </reference>
          <reference field="2" count="1" selected="0">
            <x v="13"/>
          </reference>
        </references>
      </pivotArea>
    </chartFormat>
    <chartFormat chart="0" format="30">
      <pivotArea type="data" outline="0" fieldPosition="0">
        <references count="2">
          <reference field="4294967294" count="1" selected="0">
            <x v="1"/>
          </reference>
          <reference field="2" count="1" selected="0">
            <x v="15"/>
          </reference>
        </references>
      </pivotArea>
    </chartFormat>
    <chartFormat chart="0" format="31">
      <pivotArea type="data" outline="0" fieldPosition="0">
        <references count="2">
          <reference field="4294967294" count="1" selected="0">
            <x v="1"/>
          </reference>
          <reference field="2" count="1" selected="0">
            <x v="12"/>
          </reference>
        </references>
      </pivotArea>
    </chartFormat>
    <chartFormat chart="0" format="32">
      <pivotArea type="data" outline="0" fieldPosition="0">
        <references count="2">
          <reference field="4294967294" count="1" selected="0">
            <x v="1"/>
          </reference>
          <reference field="2" count="1" selected="0">
            <x v="9"/>
          </reference>
        </references>
      </pivotArea>
    </chartFormat>
    <chartFormat chart="0" format="33">
      <pivotArea type="data" outline="0" fieldPosition="0">
        <references count="2">
          <reference field="4294967294" count="1" selected="0">
            <x v="1"/>
          </reference>
          <reference field="2" count="1" selected="0">
            <x v="5"/>
          </reference>
        </references>
      </pivotArea>
    </chartFormat>
    <chartFormat chart="0" format="34">
      <pivotArea type="data" outline="0" fieldPosition="0">
        <references count="2">
          <reference field="4294967294" count="1" selected="0">
            <x v="1"/>
          </reference>
          <reference field="2" count="1" selected="0">
            <x v="11"/>
          </reference>
        </references>
      </pivotArea>
    </chartFormat>
    <chartFormat chart="0" format="35">
      <pivotArea type="data" outline="0" fieldPosition="0">
        <references count="2">
          <reference field="4294967294" count="1" selected="0">
            <x v="1"/>
          </reference>
          <reference field="2" count="1" selected="0">
            <x v="8"/>
          </reference>
        </references>
      </pivotArea>
    </chartFormat>
    <chartFormat chart="0" format="36">
      <pivotArea type="data" outline="0" fieldPosition="0">
        <references count="2">
          <reference field="4294967294" count="1" selected="0">
            <x v="1"/>
          </reference>
          <reference field="2" count="1" selected="0">
            <x v="18"/>
          </reference>
        </references>
      </pivotArea>
    </chartFormat>
    <chartFormat chart="0" format="37">
      <pivotArea type="data" outline="0" fieldPosition="0">
        <references count="2">
          <reference field="4294967294" count="1" selected="0">
            <x v="1"/>
          </reference>
          <reference field="2" count="1" selected="0">
            <x v="14"/>
          </reference>
        </references>
      </pivotArea>
    </chartFormat>
    <chartFormat chart="0" format="38">
      <pivotArea type="data" outline="0" fieldPosition="0">
        <references count="2">
          <reference field="4294967294" count="1" selected="0">
            <x v="1"/>
          </reference>
          <reference field="2" count="1" selected="0">
            <x v="6"/>
          </reference>
        </references>
      </pivotArea>
    </chartFormat>
    <chartFormat chart="0" format="39">
      <pivotArea type="data" outline="0" fieldPosition="0">
        <references count="2">
          <reference field="4294967294" count="1" selected="0">
            <x v="1"/>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N51"/>
  <sheetViews>
    <sheetView topLeftCell="A11" zoomScale="85" zoomScaleNormal="85" workbookViewId="0">
      <selection activeCell="G21" sqref="G21"/>
    </sheetView>
  </sheetViews>
  <sheetFormatPr baseColWidth="10" defaultColWidth="10.7265625" defaultRowHeight="14.5" x14ac:dyDescent="0.35"/>
  <cols>
    <col min="3" max="3" width="83" customWidth="1"/>
    <col min="4" max="4" width="36.453125" bestFit="1" customWidth="1"/>
    <col min="5" max="5" width="15.453125" bestFit="1" customWidth="1"/>
    <col min="6" max="6" width="8.7265625" customWidth="1"/>
    <col min="7" max="7" width="29.7265625" bestFit="1" customWidth="1"/>
    <col min="8" max="8" width="36.453125" bestFit="1" customWidth="1"/>
    <col min="9" max="9" width="15.453125" bestFit="1" customWidth="1"/>
    <col min="10" max="11" width="9.7265625" customWidth="1"/>
    <col min="12" max="12" width="12.453125" bestFit="1" customWidth="1"/>
    <col min="13" max="39" width="9.7265625" customWidth="1"/>
    <col min="40" max="51" width="11.26953125" bestFit="1" customWidth="1"/>
    <col min="52" max="67" width="11.26953125" customWidth="1"/>
    <col min="68" max="82" width="12.26953125" customWidth="1"/>
    <col min="83" max="89" width="12.26953125" bestFit="1" customWidth="1"/>
    <col min="90" max="96" width="13.26953125" bestFit="1" customWidth="1"/>
    <col min="97" max="97" width="13.7265625" bestFit="1" customWidth="1"/>
  </cols>
  <sheetData>
    <row r="3" spans="3:14" ht="29" x14ac:dyDescent="0.35">
      <c r="C3" s="1" t="s">
        <v>37</v>
      </c>
      <c r="D3" s="54">
        <v>7402.05</v>
      </c>
      <c r="G3" s="2"/>
    </row>
    <row r="4" spans="3:14" ht="29" x14ac:dyDescent="0.35">
      <c r="C4" s="1" t="s">
        <v>268</v>
      </c>
      <c r="D4" s="54">
        <v>8090.62</v>
      </c>
      <c r="G4" s="3"/>
    </row>
    <row r="5" spans="3:14" x14ac:dyDescent="0.35">
      <c r="C5" s="4" t="s">
        <v>38</v>
      </c>
      <c r="D5" s="5">
        <v>48.64</v>
      </c>
      <c r="G5" s="3"/>
    </row>
    <row r="6" spans="3:14" x14ac:dyDescent="0.35">
      <c r="C6" s="4" t="s">
        <v>39</v>
      </c>
      <c r="D6" s="6">
        <f>+'COSTOS Y GASTOS ENERO 2026'!D133</f>
        <v>3702.9990322580647</v>
      </c>
    </row>
    <row r="8" spans="3:14" x14ac:dyDescent="0.35">
      <c r="C8" s="163" t="s">
        <v>40</v>
      </c>
      <c r="D8" s="163"/>
      <c r="E8" s="163"/>
      <c r="G8" s="163" t="s">
        <v>41</v>
      </c>
      <c r="H8" s="163"/>
      <c r="I8" s="163"/>
    </row>
    <row r="9" spans="3:14" x14ac:dyDescent="0.35">
      <c r="C9" s="164" t="s">
        <v>0</v>
      </c>
      <c r="D9" s="164" t="s">
        <v>1</v>
      </c>
      <c r="E9" s="166" t="s">
        <v>2</v>
      </c>
      <c r="G9" s="164" t="s">
        <v>0</v>
      </c>
      <c r="H9" s="164" t="s">
        <v>1</v>
      </c>
      <c r="I9" s="166" t="s">
        <v>2</v>
      </c>
    </row>
    <row r="10" spans="3:14" x14ac:dyDescent="0.35">
      <c r="C10" s="164"/>
      <c r="D10" s="165"/>
      <c r="E10" s="167"/>
      <c r="G10" s="164"/>
      <c r="H10" s="165"/>
      <c r="I10" s="167"/>
    </row>
    <row r="11" spans="3:14" x14ac:dyDescent="0.35">
      <c r="C11" s="8" t="s">
        <v>3</v>
      </c>
      <c r="D11" s="9"/>
      <c r="E11" s="10">
        <f>+SUM(D3:D4)*D5*D6</f>
        <v>2790444795.7114305</v>
      </c>
      <c r="G11" s="8" t="s">
        <v>3</v>
      </c>
      <c r="H11" s="9"/>
      <c r="I11" s="10">
        <f>+SUM(D3:D4)*D5*D6</f>
        <v>2790444795.7114305</v>
      </c>
    </row>
    <row r="12" spans="3:14" x14ac:dyDescent="0.35">
      <c r="C12" s="8" t="s">
        <v>4</v>
      </c>
      <c r="D12" s="9">
        <f>+E12/E11</f>
        <v>0.47777755545041622</v>
      </c>
      <c r="E12" s="10">
        <f>+D3*D5*D6</f>
        <v>1333211893.1143434</v>
      </c>
      <c r="G12" s="8" t="s">
        <v>5</v>
      </c>
      <c r="H12" s="11">
        <f>+I12/$I$11</f>
        <v>0.52222244454958366</v>
      </c>
      <c r="I12" s="10">
        <f>+D4*D5*D6</f>
        <v>1457232902.5970869</v>
      </c>
    </row>
    <row r="13" spans="3:14" x14ac:dyDescent="0.35">
      <c r="C13" s="8" t="s">
        <v>6</v>
      </c>
      <c r="D13" s="9">
        <f>+E13/$E$11</f>
        <v>0.3128361776641701</v>
      </c>
      <c r="E13" s="10">
        <f>+SUM('COSTOS Y GASTOS ENERO 2026'!H4:H80)*D12</f>
        <v>872952083.87323999</v>
      </c>
      <c r="G13" s="8" t="s">
        <v>6</v>
      </c>
      <c r="H13" s="11">
        <f t="shared" ref="H13:H17" si="0">+I13/$I$11</f>
        <v>0.34193752213687933</v>
      </c>
      <c r="I13" s="10">
        <f>++SUM('COSTOS Y GASTOS ENERO 2026'!H4:H80)*H12</f>
        <v>954157779.105317</v>
      </c>
      <c r="N13" t="s">
        <v>20</v>
      </c>
    </row>
    <row r="14" spans="3:14" x14ac:dyDescent="0.35">
      <c r="C14" s="8" t="s">
        <v>8</v>
      </c>
      <c r="D14" s="9">
        <f>+E14/$E$11</f>
        <v>1.0145445917088979E-2</v>
      </c>
      <c r="E14" s="10">
        <f>+SUM('COSTOS Y GASTOS ENERO 2026'!H81:H99)*D12</f>
        <v>28310306.759512722</v>
      </c>
      <c r="G14" s="8" t="s">
        <v>8</v>
      </c>
      <c r="H14" s="11">
        <f t="shared" si="0"/>
        <v>1.1089218209241821E-2</v>
      </c>
      <c r="I14" s="10">
        <f>+SUM('COSTOS Y GASTOS ENERO 2026'!H81:H99)*H12</f>
        <v>30943851.24048727</v>
      </c>
    </row>
    <row r="15" spans="3:14" x14ac:dyDescent="0.35">
      <c r="C15" s="8" t="s">
        <v>9</v>
      </c>
      <c r="D15" s="9">
        <f>+E15/$E$11</f>
        <v>0.15479593186915713</v>
      </c>
      <c r="E15" s="10">
        <f>E12-E13-E14</f>
        <v>431949502.48159069</v>
      </c>
      <c r="G15" s="8" t="s">
        <v>9</v>
      </c>
      <c r="H15" s="11">
        <f t="shared" si="0"/>
        <v>0.16919570420346253</v>
      </c>
      <c r="I15" s="10">
        <f>I12-I13-I14</f>
        <v>472131272.25128263</v>
      </c>
    </row>
    <row r="16" spans="3:14" x14ac:dyDescent="0.35">
      <c r="C16" s="8" t="s">
        <v>10</v>
      </c>
      <c r="D16" s="9">
        <f>+E16/$E$11</f>
        <v>3.8222204436033302E-2</v>
      </c>
      <c r="E16" s="10">
        <f>+E12*8%</f>
        <v>106656951.44914748</v>
      </c>
      <c r="G16" s="8" t="s">
        <v>10</v>
      </c>
      <c r="H16" s="11">
        <f t="shared" si="0"/>
        <v>4.1777795563966692E-2</v>
      </c>
      <c r="I16" s="10">
        <f>+I12*8%</f>
        <v>116578632.20776695</v>
      </c>
    </row>
    <row r="17" spans="3:10" x14ac:dyDescent="0.35">
      <c r="C17" s="93" t="s">
        <v>7</v>
      </c>
      <c r="D17" s="9">
        <f>+E17/$E$11</f>
        <v>0.11657372743312383</v>
      </c>
      <c r="E17" s="13">
        <f>+E15-E16</f>
        <v>325292551.03244323</v>
      </c>
      <c r="G17" s="8" t="s">
        <v>7</v>
      </c>
      <c r="H17" s="11">
        <f t="shared" si="0"/>
        <v>0.12741790863949584</v>
      </c>
      <c r="I17" s="10">
        <f>+I15-I16</f>
        <v>355552640.04351568</v>
      </c>
    </row>
    <row r="18" spans="3:10" x14ac:dyDescent="0.35">
      <c r="C18" s="55"/>
      <c r="D18" s="56"/>
      <c r="E18" s="57"/>
      <c r="G18" s="55"/>
      <c r="H18" s="58"/>
      <c r="I18" s="57"/>
    </row>
    <row r="19" spans="3:10" x14ac:dyDescent="0.35">
      <c r="C19" s="163" t="s">
        <v>11</v>
      </c>
      <c r="D19" s="163"/>
      <c r="G19" s="163" t="s">
        <v>455</v>
      </c>
      <c r="H19" s="163"/>
    </row>
    <row r="20" spans="3:10" x14ac:dyDescent="0.35">
      <c r="C20" s="7" t="s">
        <v>0</v>
      </c>
      <c r="D20" s="7" t="s">
        <v>12</v>
      </c>
      <c r="G20" s="7" t="s">
        <v>0</v>
      </c>
      <c r="H20" s="7" t="s">
        <v>12</v>
      </c>
    </row>
    <row r="21" spans="3:10" x14ac:dyDescent="0.35">
      <c r="C21" s="12" t="s">
        <v>13</v>
      </c>
      <c r="D21" s="13">
        <f>+E17</f>
        <v>325292551.03244323</v>
      </c>
      <c r="G21" s="12" t="s">
        <v>13</v>
      </c>
      <c r="H21" s="13">
        <f>I17</f>
        <v>355552640.04351568</v>
      </c>
    </row>
    <row r="22" spans="3:10" x14ac:dyDescent="0.35">
      <c r="C22" s="168" t="s">
        <v>14</v>
      </c>
      <c r="D22" s="170">
        <v>0.3</v>
      </c>
      <c r="G22" s="12" t="s">
        <v>15</v>
      </c>
      <c r="H22" s="14">
        <v>0.3</v>
      </c>
    </row>
    <row r="23" spans="3:10" ht="15.5" x14ac:dyDescent="0.35">
      <c r="C23" s="169"/>
      <c r="D23" s="171"/>
      <c r="G23" s="12" t="s">
        <v>16</v>
      </c>
      <c r="H23" s="15">
        <f>+(H21*H22)</f>
        <v>106665792.0130547</v>
      </c>
    </row>
    <row r="24" spans="3:10" ht="15.75" customHeight="1" x14ac:dyDescent="0.35">
      <c r="C24" s="168" t="s">
        <v>17</v>
      </c>
      <c r="D24" s="173">
        <f>+D22*D21</f>
        <v>97587765.309732959</v>
      </c>
      <c r="H24" s="16"/>
      <c r="J24" s="3"/>
    </row>
    <row r="25" spans="3:10" ht="15.75" customHeight="1" x14ac:dyDescent="0.35">
      <c r="C25" s="172"/>
      <c r="D25" s="174"/>
      <c r="G25" s="3"/>
    </row>
    <row r="26" spans="3:10" ht="15.75" customHeight="1" x14ac:dyDescent="0.35">
      <c r="C26" s="169"/>
      <c r="D26" s="175"/>
    </row>
    <row r="27" spans="3:10" x14ac:dyDescent="0.35">
      <c r="C27" s="12" t="s">
        <v>18</v>
      </c>
      <c r="D27" s="13">
        <v>11515906839.48208</v>
      </c>
      <c r="G27" s="17"/>
      <c r="H27" s="17"/>
      <c r="J27" s="18"/>
    </row>
    <row r="28" spans="3:10" x14ac:dyDescent="0.35">
      <c r="C28" s="12" t="s">
        <v>19</v>
      </c>
      <c r="D28" s="13">
        <f>+D27-D24</f>
        <v>11418319074.172348</v>
      </c>
      <c r="G28" s="17"/>
      <c r="H28" s="17"/>
    </row>
    <row r="29" spans="3:10" x14ac:dyDescent="0.35">
      <c r="G29" s="17"/>
      <c r="H29" s="17"/>
    </row>
    <row r="31" spans="3:10" x14ac:dyDescent="0.35">
      <c r="C31" s="52" t="s">
        <v>258</v>
      </c>
      <c r="D31" s="7" t="s">
        <v>21</v>
      </c>
      <c r="E31" s="52" t="s">
        <v>22</v>
      </c>
    </row>
    <row r="32" spans="3:10" x14ac:dyDescent="0.35">
      <c r="C32" s="19" t="s">
        <v>23</v>
      </c>
      <c r="D32" s="13">
        <v>618949535</v>
      </c>
      <c r="E32" s="20">
        <v>0.32811775888246536</v>
      </c>
    </row>
    <row r="33" spans="3:5" x14ac:dyDescent="0.35">
      <c r="C33" s="19" t="s">
        <v>25</v>
      </c>
      <c r="D33" s="13">
        <v>414512200</v>
      </c>
      <c r="E33" s="20">
        <v>0.2197413624253555</v>
      </c>
    </row>
    <row r="34" spans="3:5" x14ac:dyDescent="0.35">
      <c r="C34" s="19" t="s">
        <v>24</v>
      </c>
      <c r="D34" s="13">
        <v>265600000</v>
      </c>
      <c r="E34" s="20">
        <v>0.14079997129197747</v>
      </c>
    </row>
    <row r="35" spans="3:5" x14ac:dyDescent="0.35">
      <c r="C35" s="19" t="s">
        <v>28</v>
      </c>
      <c r="D35" s="13">
        <v>122948593</v>
      </c>
      <c r="E35" s="20">
        <v>6.5177554084296013E-2</v>
      </c>
    </row>
    <row r="36" spans="3:5" x14ac:dyDescent="0.35">
      <c r="C36" s="19" t="s">
        <v>142</v>
      </c>
      <c r="D36" s="13">
        <v>112383780</v>
      </c>
      <c r="E36" s="20">
        <v>5.9576931467183396E-2</v>
      </c>
    </row>
    <row r="37" spans="3:5" x14ac:dyDescent="0.35">
      <c r="C37" s="19" t="s">
        <v>211</v>
      </c>
      <c r="D37" s="13">
        <v>70043157</v>
      </c>
      <c r="E37" s="20">
        <v>3.7131304573793183E-2</v>
      </c>
    </row>
    <row r="38" spans="3:5" x14ac:dyDescent="0.35">
      <c r="C38" s="19" t="s">
        <v>33</v>
      </c>
      <c r="D38" s="13">
        <v>62580102</v>
      </c>
      <c r="E38" s="20">
        <v>3.3174987067202642E-2</v>
      </c>
    </row>
    <row r="39" spans="3:5" x14ac:dyDescent="0.35">
      <c r="C39" s="19" t="s">
        <v>31</v>
      </c>
      <c r="D39" s="13">
        <v>50937790</v>
      </c>
      <c r="E39" s="20">
        <v>2.7003160277397503E-2</v>
      </c>
    </row>
    <row r="40" spans="3:5" x14ac:dyDescent="0.35">
      <c r="C40" s="19" t="s">
        <v>27</v>
      </c>
      <c r="D40" s="13">
        <v>50000000</v>
      </c>
      <c r="E40" s="20">
        <v>2.6506018692013827E-2</v>
      </c>
    </row>
    <row r="41" spans="3:5" x14ac:dyDescent="0.35">
      <c r="C41" s="19" t="s">
        <v>29</v>
      </c>
      <c r="D41" s="13">
        <v>29722800</v>
      </c>
      <c r="E41" s="20">
        <v>1.5756661847579772E-2</v>
      </c>
    </row>
    <row r="42" spans="3:5" x14ac:dyDescent="0.35">
      <c r="C42" s="19" t="s">
        <v>128</v>
      </c>
      <c r="D42" s="13">
        <v>21573260</v>
      </c>
      <c r="E42" s="20">
        <v>1.1436424656153485E-2</v>
      </c>
    </row>
    <row r="43" spans="3:5" x14ac:dyDescent="0.35">
      <c r="C43" s="19" t="s">
        <v>26</v>
      </c>
      <c r="D43" s="13">
        <v>14147930</v>
      </c>
      <c r="E43" s="20">
        <v>7.5001059406660641E-3</v>
      </c>
    </row>
    <row r="44" spans="3:5" x14ac:dyDescent="0.35">
      <c r="C44" s="19" t="s">
        <v>34</v>
      </c>
      <c r="D44" s="13">
        <v>13952223.978557153</v>
      </c>
      <c r="E44" s="20">
        <v>7.3963581914159885E-3</v>
      </c>
    </row>
    <row r="45" spans="3:5" x14ac:dyDescent="0.35">
      <c r="C45" s="19" t="s">
        <v>32</v>
      </c>
      <c r="D45" s="13">
        <v>13913900</v>
      </c>
      <c r="E45" s="20">
        <v>7.3760418695762242E-3</v>
      </c>
    </row>
    <row r="46" spans="3:5" x14ac:dyDescent="0.35">
      <c r="C46" s="19" t="s">
        <v>30</v>
      </c>
      <c r="D46" s="13">
        <v>10714432</v>
      </c>
      <c r="E46" s="20">
        <v>5.6799386973262218E-3</v>
      </c>
    </row>
    <row r="47" spans="3:5" x14ac:dyDescent="0.35">
      <c r="C47" s="19" t="s">
        <v>55</v>
      </c>
      <c r="D47" s="13">
        <v>6331495</v>
      </c>
      <c r="E47" s="20">
        <v>3.3564544963678418E-3</v>
      </c>
    </row>
    <row r="48" spans="3:5" x14ac:dyDescent="0.35">
      <c r="C48" s="19" t="s">
        <v>35</v>
      </c>
      <c r="D48" s="13">
        <v>4000000</v>
      </c>
      <c r="E48" s="20">
        <v>2.1204814953611063E-3</v>
      </c>
    </row>
    <row r="49" spans="3:5" x14ac:dyDescent="0.35">
      <c r="C49" s="19" t="s">
        <v>126</v>
      </c>
      <c r="D49" s="13">
        <v>2143904</v>
      </c>
      <c r="E49" s="20">
        <v>1.1365271899576642E-3</v>
      </c>
    </row>
    <row r="50" spans="3:5" x14ac:dyDescent="0.35">
      <c r="C50" s="19" t="s">
        <v>85</v>
      </c>
      <c r="D50" s="13">
        <v>1908919</v>
      </c>
      <c r="E50" s="20">
        <v>1.0119568539108069E-3</v>
      </c>
    </row>
    <row r="51" spans="3:5" x14ac:dyDescent="0.35">
      <c r="C51" s="22" t="s">
        <v>36</v>
      </c>
      <c r="D51" s="53">
        <v>1886364020.9785571</v>
      </c>
      <c r="E51" s="21">
        <v>1</v>
      </c>
    </row>
  </sheetData>
  <autoFilter ref="C31:E51" xr:uid="{00000000-0009-0000-0000-000000000000}"/>
  <mergeCells count="14">
    <mergeCell ref="G19:H19"/>
    <mergeCell ref="C8:E8"/>
    <mergeCell ref="G8:I8"/>
    <mergeCell ref="C9:C10"/>
    <mergeCell ref="D9:D10"/>
    <mergeCell ref="E9:E10"/>
    <mergeCell ref="G9:G10"/>
    <mergeCell ref="H9:H10"/>
    <mergeCell ref="I9:I10"/>
    <mergeCell ref="C22:C23"/>
    <mergeCell ref="D22:D23"/>
    <mergeCell ref="C24:C26"/>
    <mergeCell ref="D24:D26"/>
    <mergeCell ref="C19:D19"/>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33"/>
  <sheetViews>
    <sheetView zoomScale="67" workbookViewId="0">
      <selection activeCell="C80" sqref="C80:K80"/>
    </sheetView>
  </sheetViews>
  <sheetFormatPr baseColWidth="10" defaultRowHeight="14.5" x14ac:dyDescent="0.35"/>
  <cols>
    <col min="3" max="3" width="27.1796875" customWidth="1"/>
    <col min="4" max="4" width="25" style="48" customWidth="1"/>
    <col min="5" max="5" width="26.453125" customWidth="1"/>
    <col min="6" max="6" width="17.54296875" customWidth="1"/>
    <col min="7" max="7" width="23.26953125" customWidth="1"/>
    <col min="8" max="8" width="19.54296875" customWidth="1"/>
    <col min="9" max="9" width="14.7265625" customWidth="1"/>
    <col min="10" max="10" width="15.453125" customWidth="1"/>
  </cols>
  <sheetData>
    <row r="1" spans="3:11" ht="15" thickBot="1" x14ac:dyDescent="0.4"/>
    <row r="2" spans="3:11" ht="26.5" thickBot="1" x14ac:dyDescent="0.65">
      <c r="C2" s="178" t="s">
        <v>264</v>
      </c>
      <c r="D2" s="179"/>
      <c r="E2" s="179"/>
      <c r="F2" s="179"/>
      <c r="G2" s="179"/>
      <c r="H2" s="179"/>
      <c r="I2" s="179"/>
      <c r="J2" s="179"/>
      <c r="K2" s="180"/>
    </row>
    <row r="3" spans="3:11" ht="42.5" thickBot="1" x14ac:dyDescent="0.4">
      <c r="C3" s="29" t="s">
        <v>256</v>
      </c>
      <c r="D3" s="30" t="s">
        <v>257</v>
      </c>
      <c r="E3" s="29" t="s">
        <v>258</v>
      </c>
      <c r="F3" s="30" t="s">
        <v>259</v>
      </c>
      <c r="G3" s="30" t="s">
        <v>260</v>
      </c>
      <c r="H3" s="29" t="s">
        <v>261</v>
      </c>
      <c r="I3" s="30" t="s">
        <v>262</v>
      </c>
      <c r="J3" s="30" t="s">
        <v>263</v>
      </c>
      <c r="K3" s="30" t="s">
        <v>255</v>
      </c>
    </row>
    <row r="4" spans="3:11" ht="44" thickBot="1" x14ac:dyDescent="0.4">
      <c r="C4" s="37" t="s">
        <v>227</v>
      </c>
      <c r="D4" s="49" t="s">
        <v>230</v>
      </c>
      <c r="E4" s="38" t="s">
        <v>23</v>
      </c>
      <c r="F4" s="39">
        <v>46027</v>
      </c>
      <c r="G4" s="40" t="s">
        <v>225</v>
      </c>
      <c r="H4" s="41">
        <v>203216</v>
      </c>
      <c r="I4" s="36" t="s">
        <v>42</v>
      </c>
      <c r="J4" s="43">
        <v>46027</v>
      </c>
      <c r="K4" s="42" t="s">
        <v>266</v>
      </c>
    </row>
    <row r="5" spans="3:11" ht="44" thickBot="1" x14ac:dyDescent="0.4">
      <c r="C5" s="31" t="s">
        <v>228</v>
      </c>
      <c r="D5" s="50" t="s">
        <v>230</v>
      </c>
      <c r="E5" s="32" t="s">
        <v>23</v>
      </c>
      <c r="F5" s="33">
        <v>46027</v>
      </c>
      <c r="G5" s="34" t="s">
        <v>225</v>
      </c>
      <c r="H5" s="35">
        <v>1246170</v>
      </c>
      <c r="I5" s="36" t="s">
        <v>42</v>
      </c>
      <c r="J5" s="42">
        <v>46027</v>
      </c>
      <c r="K5" s="42" t="s">
        <v>266</v>
      </c>
    </row>
    <row r="6" spans="3:11" ht="44" thickBot="1" x14ac:dyDescent="0.4">
      <c r="C6" s="37" t="s">
        <v>229</v>
      </c>
      <c r="D6" s="49" t="s">
        <v>231</v>
      </c>
      <c r="E6" s="38" t="s">
        <v>23</v>
      </c>
      <c r="F6" s="39">
        <v>46028</v>
      </c>
      <c r="G6" s="40" t="s">
        <v>226</v>
      </c>
      <c r="H6" s="41">
        <v>500000</v>
      </c>
      <c r="I6" s="36" t="s">
        <v>42</v>
      </c>
      <c r="J6" s="43">
        <v>46028</v>
      </c>
      <c r="K6" s="42" t="s">
        <v>266</v>
      </c>
    </row>
    <row r="7" spans="3:11" ht="58.5" thickBot="1" x14ac:dyDescent="0.4">
      <c r="C7" s="37" t="s">
        <v>50</v>
      </c>
      <c r="D7" s="49" t="s">
        <v>217</v>
      </c>
      <c r="E7" s="38" t="s">
        <v>29</v>
      </c>
      <c r="F7" s="39">
        <v>45981</v>
      </c>
      <c r="G7" s="40" t="s">
        <v>51</v>
      </c>
      <c r="H7" s="41">
        <v>2201500</v>
      </c>
      <c r="I7" s="36" t="s">
        <v>45</v>
      </c>
      <c r="J7" s="43">
        <v>46028</v>
      </c>
      <c r="K7" s="42" t="s">
        <v>266</v>
      </c>
    </row>
    <row r="8" spans="3:11" ht="58.5" thickBot="1" x14ac:dyDescent="0.4">
      <c r="C8" s="31" t="s">
        <v>50</v>
      </c>
      <c r="D8" s="50" t="s">
        <v>217</v>
      </c>
      <c r="E8" s="32" t="s">
        <v>29</v>
      </c>
      <c r="F8" s="33">
        <v>45981</v>
      </c>
      <c r="G8" s="34" t="s">
        <v>52</v>
      </c>
      <c r="H8" s="35">
        <v>321300</v>
      </c>
      <c r="I8" s="36" t="s">
        <v>45</v>
      </c>
      <c r="J8" s="42">
        <v>46028</v>
      </c>
      <c r="K8" s="42" t="s">
        <v>266</v>
      </c>
    </row>
    <row r="9" spans="3:11" ht="44" thickBot="1" x14ac:dyDescent="0.4">
      <c r="C9" s="37" t="s">
        <v>68</v>
      </c>
      <c r="D9" s="49" t="s">
        <v>218</v>
      </c>
      <c r="E9" s="38" t="s">
        <v>28</v>
      </c>
      <c r="F9" s="39">
        <v>46008</v>
      </c>
      <c r="G9" s="40" t="s">
        <v>70</v>
      </c>
      <c r="H9" s="41">
        <v>1436819</v>
      </c>
      <c r="I9" s="36" t="s">
        <v>45</v>
      </c>
      <c r="J9" s="43">
        <v>46028</v>
      </c>
      <c r="K9" s="42" t="s">
        <v>266</v>
      </c>
    </row>
    <row r="10" spans="3:11" ht="44" thickBot="1" x14ac:dyDescent="0.4">
      <c r="C10" s="31" t="s">
        <v>71</v>
      </c>
      <c r="D10" s="50" t="s">
        <v>98</v>
      </c>
      <c r="E10" s="32" t="s">
        <v>23</v>
      </c>
      <c r="F10" s="33">
        <v>46017</v>
      </c>
      <c r="G10" s="34" t="s">
        <v>72</v>
      </c>
      <c r="H10" s="35">
        <v>261500</v>
      </c>
      <c r="I10" s="36" t="s">
        <v>45</v>
      </c>
      <c r="J10" s="42">
        <v>46028</v>
      </c>
      <c r="K10" s="42" t="s">
        <v>266</v>
      </c>
    </row>
    <row r="11" spans="3:11" ht="15" thickBot="1" x14ac:dyDescent="0.4">
      <c r="C11" s="37" t="s">
        <v>73</v>
      </c>
      <c r="D11" s="49" t="s">
        <v>74</v>
      </c>
      <c r="E11" s="38" t="s">
        <v>32</v>
      </c>
      <c r="F11" s="39">
        <v>46010</v>
      </c>
      <c r="G11" s="40" t="s">
        <v>75</v>
      </c>
      <c r="H11" s="41">
        <v>300000</v>
      </c>
      <c r="I11" s="36" t="s">
        <v>45</v>
      </c>
      <c r="J11" s="43">
        <v>46028</v>
      </c>
      <c r="K11" s="42" t="s">
        <v>266</v>
      </c>
    </row>
    <row r="12" spans="3:11" ht="15" thickBot="1" x14ac:dyDescent="0.4">
      <c r="C12" s="31" t="s">
        <v>73</v>
      </c>
      <c r="D12" s="50" t="s">
        <v>74</v>
      </c>
      <c r="E12" s="32" t="s">
        <v>32</v>
      </c>
      <c r="F12" s="33">
        <v>46013</v>
      </c>
      <c r="G12" s="34" t="s">
        <v>76</v>
      </c>
      <c r="H12" s="35">
        <v>1200000</v>
      </c>
      <c r="I12" s="36" t="s">
        <v>45</v>
      </c>
      <c r="J12" s="42">
        <v>46028</v>
      </c>
      <c r="K12" s="42" t="s">
        <v>266</v>
      </c>
    </row>
    <row r="13" spans="3:11" ht="44" thickBot="1" x14ac:dyDescent="0.4">
      <c r="C13" s="37" t="s">
        <v>77</v>
      </c>
      <c r="D13" s="49" t="s">
        <v>78</v>
      </c>
      <c r="E13" s="38" t="s">
        <v>28</v>
      </c>
      <c r="F13" s="39">
        <v>46027</v>
      </c>
      <c r="G13" s="40" t="s">
        <v>79</v>
      </c>
      <c r="H13" s="41">
        <v>4800000</v>
      </c>
      <c r="I13" s="36" t="s">
        <v>45</v>
      </c>
      <c r="J13" s="43">
        <v>46028</v>
      </c>
      <c r="K13" s="42" t="s">
        <v>266</v>
      </c>
    </row>
    <row r="14" spans="3:11" ht="15" thickBot="1" x14ac:dyDescent="0.4">
      <c r="C14" s="37" t="s">
        <v>87</v>
      </c>
      <c r="D14" s="49" t="s">
        <v>30</v>
      </c>
      <c r="E14" s="38" t="s">
        <v>30</v>
      </c>
      <c r="F14" s="39">
        <v>46028</v>
      </c>
      <c r="G14" s="40" t="s">
        <v>88</v>
      </c>
      <c r="H14" s="41">
        <v>1520000</v>
      </c>
      <c r="I14" s="36" t="s">
        <v>45</v>
      </c>
      <c r="J14" s="43">
        <v>46030</v>
      </c>
      <c r="K14" s="42" t="s">
        <v>266</v>
      </c>
    </row>
    <row r="15" spans="3:11" ht="15" thickBot="1" x14ac:dyDescent="0.4">
      <c r="C15" s="31" t="s">
        <v>89</v>
      </c>
      <c r="D15" s="50" t="s">
        <v>222</v>
      </c>
      <c r="E15" s="32" t="s">
        <v>25</v>
      </c>
      <c r="F15" s="33">
        <v>45967</v>
      </c>
      <c r="G15" s="34" t="s">
        <v>90</v>
      </c>
      <c r="H15" s="35">
        <v>9591400</v>
      </c>
      <c r="I15" s="36" t="s">
        <v>45</v>
      </c>
      <c r="J15" s="42">
        <v>46031</v>
      </c>
      <c r="K15" s="42" t="s">
        <v>266</v>
      </c>
    </row>
    <row r="16" spans="3:11" ht="44" thickBot="1" x14ac:dyDescent="0.4">
      <c r="C16" s="37" t="s">
        <v>91</v>
      </c>
      <c r="D16" s="49" t="s">
        <v>224</v>
      </c>
      <c r="E16" s="38" t="s">
        <v>28</v>
      </c>
      <c r="F16" s="39">
        <v>46031</v>
      </c>
      <c r="G16" s="40" t="s">
        <v>92</v>
      </c>
      <c r="H16" s="41">
        <v>3561000</v>
      </c>
      <c r="I16" s="36" t="s">
        <v>45</v>
      </c>
      <c r="J16" s="43">
        <v>46031</v>
      </c>
      <c r="K16" s="42" t="s">
        <v>266</v>
      </c>
    </row>
    <row r="17" spans="3:11" ht="44" thickBot="1" x14ac:dyDescent="0.4">
      <c r="C17" s="31" t="s">
        <v>71</v>
      </c>
      <c r="D17" s="50" t="s">
        <v>98</v>
      </c>
      <c r="E17" s="32" t="s">
        <v>23</v>
      </c>
      <c r="F17" s="33">
        <v>46003</v>
      </c>
      <c r="G17" s="34" t="s">
        <v>93</v>
      </c>
      <c r="H17" s="35">
        <v>206450</v>
      </c>
      <c r="I17" s="36" t="s">
        <v>45</v>
      </c>
      <c r="J17" s="42">
        <v>46031</v>
      </c>
      <c r="K17" s="42" t="s">
        <v>266</v>
      </c>
    </row>
    <row r="18" spans="3:11" ht="44" thickBot="1" x14ac:dyDescent="0.4">
      <c r="C18" s="31" t="s">
        <v>97</v>
      </c>
      <c r="D18" s="50" t="s">
        <v>98</v>
      </c>
      <c r="E18" s="32" t="s">
        <v>23</v>
      </c>
      <c r="F18" s="33">
        <v>46030</v>
      </c>
      <c r="G18" s="34" t="s">
        <v>99</v>
      </c>
      <c r="H18" s="35">
        <v>931000</v>
      </c>
      <c r="I18" s="36" t="s">
        <v>45</v>
      </c>
      <c r="J18" s="42">
        <v>46031</v>
      </c>
      <c r="K18" s="42" t="s">
        <v>266</v>
      </c>
    </row>
    <row r="19" spans="3:11" ht="44" thickBot="1" x14ac:dyDescent="0.4">
      <c r="C19" s="37" t="s">
        <v>232</v>
      </c>
      <c r="D19" s="49" t="s">
        <v>230</v>
      </c>
      <c r="E19" s="38" t="s">
        <v>23</v>
      </c>
      <c r="F19" s="39">
        <v>46031</v>
      </c>
      <c r="G19" s="40" t="s">
        <v>225</v>
      </c>
      <c r="H19" s="41">
        <v>177870</v>
      </c>
      <c r="I19" s="36" t="s">
        <v>42</v>
      </c>
      <c r="J19" s="43">
        <v>46031</v>
      </c>
      <c r="K19" s="42" t="s">
        <v>266</v>
      </c>
    </row>
    <row r="20" spans="3:11" ht="44" thickBot="1" x14ac:dyDescent="0.4">
      <c r="C20" s="31" t="s">
        <v>100</v>
      </c>
      <c r="D20" s="50" t="s">
        <v>69</v>
      </c>
      <c r="E20" s="32" t="s">
        <v>28</v>
      </c>
      <c r="F20" s="33">
        <v>45981</v>
      </c>
      <c r="G20" s="34" t="s">
        <v>101</v>
      </c>
      <c r="H20" s="35">
        <v>24627990</v>
      </c>
      <c r="I20" s="36" t="s">
        <v>45</v>
      </c>
      <c r="J20" s="42">
        <v>46035</v>
      </c>
      <c r="K20" s="42" t="s">
        <v>266</v>
      </c>
    </row>
    <row r="21" spans="3:11" ht="15" thickBot="1" x14ac:dyDescent="0.4">
      <c r="C21" s="37" t="s">
        <v>102</v>
      </c>
      <c r="D21" s="49" t="s">
        <v>103</v>
      </c>
      <c r="E21" s="38" t="s">
        <v>25</v>
      </c>
      <c r="F21" s="39">
        <v>46002</v>
      </c>
      <c r="G21" s="40" t="s">
        <v>104</v>
      </c>
      <c r="H21" s="41">
        <v>700000</v>
      </c>
      <c r="I21" s="36" t="s">
        <v>45</v>
      </c>
      <c r="J21" s="43">
        <v>46035</v>
      </c>
      <c r="K21" s="42" t="s">
        <v>266</v>
      </c>
    </row>
    <row r="22" spans="3:11" ht="189" thickBot="1" x14ac:dyDescent="0.4">
      <c r="C22" s="31" t="s">
        <v>105</v>
      </c>
      <c r="D22" s="50" t="s">
        <v>233</v>
      </c>
      <c r="E22" s="32" t="s">
        <v>25</v>
      </c>
      <c r="F22" s="33">
        <v>46002</v>
      </c>
      <c r="G22" s="34" t="s">
        <v>106</v>
      </c>
      <c r="H22" s="35">
        <v>78897000</v>
      </c>
      <c r="I22" s="36" t="s">
        <v>45</v>
      </c>
      <c r="J22" s="42">
        <v>46035</v>
      </c>
      <c r="K22" s="42" t="s">
        <v>266</v>
      </c>
    </row>
    <row r="23" spans="3:11" ht="15" thickBot="1" x14ac:dyDescent="0.4">
      <c r="C23" s="31" t="s">
        <v>73</v>
      </c>
      <c r="D23" s="50" t="s">
        <v>32</v>
      </c>
      <c r="E23" s="32" t="s">
        <v>32</v>
      </c>
      <c r="F23" s="33">
        <v>46001</v>
      </c>
      <c r="G23" s="34" t="s">
        <v>110</v>
      </c>
      <c r="H23" s="35">
        <v>3118500</v>
      </c>
      <c r="I23" s="36" t="s">
        <v>45</v>
      </c>
      <c r="J23" s="42">
        <v>46035</v>
      </c>
      <c r="K23" s="42" t="s">
        <v>266</v>
      </c>
    </row>
    <row r="24" spans="3:11" ht="29.5" thickBot="1" x14ac:dyDescent="0.4">
      <c r="C24" s="37" t="s">
        <v>111</v>
      </c>
      <c r="D24" s="49" t="s">
        <v>234</v>
      </c>
      <c r="E24" s="38" t="s">
        <v>25</v>
      </c>
      <c r="F24" s="39">
        <v>45994</v>
      </c>
      <c r="G24" s="40" t="s">
        <v>112</v>
      </c>
      <c r="H24" s="41">
        <v>4000000</v>
      </c>
      <c r="I24" s="36" t="s">
        <v>45</v>
      </c>
      <c r="J24" s="43">
        <v>46035</v>
      </c>
      <c r="K24" s="42" t="s">
        <v>266</v>
      </c>
    </row>
    <row r="25" spans="3:11" ht="44" thickBot="1" x14ac:dyDescent="0.4">
      <c r="C25" s="31" t="s">
        <v>113</v>
      </c>
      <c r="D25" s="50" t="s">
        <v>114</v>
      </c>
      <c r="E25" s="32" t="s">
        <v>23</v>
      </c>
      <c r="F25" s="33">
        <v>45995</v>
      </c>
      <c r="G25" s="34" t="s">
        <v>115</v>
      </c>
      <c r="H25" s="35">
        <v>261000</v>
      </c>
      <c r="I25" s="36" t="s">
        <v>45</v>
      </c>
      <c r="J25" s="42">
        <v>46035</v>
      </c>
      <c r="K25" s="42" t="s">
        <v>266</v>
      </c>
    </row>
    <row r="26" spans="3:11" ht="44" thickBot="1" x14ac:dyDescent="0.4">
      <c r="C26" s="37" t="s">
        <v>116</v>
      </c>
      <c r="D26" s="49" t="s">
        <v>235</v>
      </c>
      <c r="E26" s="38" t="s">
        <v>28</v>
      </c>
      <c r="F26" s="39">
        <v>46002</v>
      </c>
      <c r="G26" s="40" t="s">
        <v>117</v>
      </c>
      <c r="H26" s="41">
        <v>1900000</v>
      </c>
      <c r="I26" s="36" t="s">
        <v>45</v>
      </c>
      <c r="J26" s="43">
        <v>46035</v>
      </c>
      <c r="K26" s="42" t="s">
        <v>266</v>
      </c>
    </row>
    <row r="27" spans="3:11" ht="87.5" thickBot="1" x14ac:dyDescent="0.4">
      <c r="C27" s="31" t="s">
        <v>118</v>
      </c>
      <c r="D27" s="50" t="s">
        <v>236</v>
      </c>
      <c r="E27" s="32" t="s">
        <v>25</v>
      </c>
      <c r="F27" s="33">
        <v>45965</v>
      </c>
      <c r="G27" s="34" t="s">
        <v>119</v>
      </c>
      <c r="H27" s="35">
        <v>17493000</v>
      </c>
      <c r="I27" s="36" t="s">
        <v>45</v>
      </c>
      <c r="J27" s="42">
        <v>46035</v>
      </c>
      <c r="K27" s="42" t="s">
        <v>266</v>
      </c>
    </row>
    <row r="28" spans="3:11" ht="87.5" thickBot="1" x14ac:dyDescent="0.4">
      <c r="C28" s="37" t="s">
        <v>118</v>
      </c>
      <c r="D28" s="49" t="s">
        <v>237</v>
      </c>
      <c r="E28" s="38" t="s">
        <v>25</v>
      </c>
      <c r="F28" s="39">
        <v>45965</v>
      </c>
      <c r="G28" s="40" t="s">
        <v>120</v>
      </c>
      <c r="H28" s="41">
        <v>18076100</v>
      </c>
      <c r="I28" s="36" t="s">
        <v>45</v>
      </c>
      <c r="J28" s="43">
        <v>46035</v>
      </c>
      <c r="K28" s="42" t="s">
        <v>266</v>
      </c>
    </row>
    <row r="29" spans="3:11" ht="87.5" thickBot="1" x14ac:dyDescent="0.4">
      <c r="C29" s="31" t="s">
        <v>118</v>
      </c>
      <c r="D29" s="50" t="s">
        <v>238</v>
      </c>
      <c r="E29" s="32" t="s">
        <v>25</v>
      </c>
      <c r="F29" s="33">
        <v>45965</v>
      </c>
      <c r="G29" s="34" t="s">
        <v>121</v>
      </c>
      <c r="H29" s="35">
        <v>18076100</v>
      </c>
      <c r="I29" s="36" t="s">
        <v>45</v>
      </c>
      <c r="J29" s="42">
        <v>46035</v>
      </c>
      <c r="K29" s="42" t="s">
        <v>266</v>
      </c>
    </row>
    <row r="30" spans="3:11" ht="44" thickBot="1" x14ac:dyDescent="0.4">
      <c r="C30" s="37" t="s">
        <v>122</v>
      </c>
      <c r="D30" s="49" t="s">
        <v>123</v>
      </c>
      <c r="E30" s="38" t="s">
        <v>23</v>
      </c>
      <c r="F30" s="39">
        <v>45995</v>
      </c>
      <c r="G30" s="40" t="s">
        <v>124</v>
      </c>
      <c r="H30" s="41">
        <v>1488000</v>
      </c>
      <c r="I30" s="36" t="s">
        <v>45</v>
      </c>
      <c r="J30" s="43">
        <v>46035</v>
      </c>
      <c r="K30" s="42" t="s">
        <v>266</v>
      </c>
    </row>
    <row r="31" spans="3:11" ht="29.5" thickBot="1" x14ac:dyDescent="0.4">
      <c r="C31" s="31" t="s">
        <v>125</v>
      </c>
      <c r="D31" s="50" t="s">
        <v>126</v>
      </c>
      <c r="E31" s="32" t="s">
        <v>126</v>
      </c>
      <c r="F31" s="33">
        <v>45952</v>
      </c>
      <c r="G31" s="34" t="s">
        <v>127</v>
      </c>
      <c r="H31" s="35">
        <v>2143904</v>
      </c>
      <c r="I31" s="36" t="s">
        <v>45</v>
      </c>
      <c r="J31" s="42">
        <v>46035</v>
      </c>
      <c r="K31" s="42" t="s">
        <v>266</v>
      </c>
    </row>
    <row r="32" spans="3:11" ht="29.5" thickBot="1" x14ac:dyDescent="0.4">
      <c r="C32" s="37" t="s">
        <v>125</v>
      </c>
      <c r="D32" s="49" t="s">
        <v>128</v>
      </c>
      <c r="E32" s="38" t="s">
        <v>128</v>
      </c>
      <c r="F32" s="39">
        <v>45980</v>
      </c>
      <c r="G32" s="40" t="s">
        <v>129</v>
      </c>
      <c r="H32" s="41">
        <v>15095745</v>
      </c>
      <c r="I32" s="36" t="s">
        <v>45</v>
      </c>
      <c r="J32" s="43">
        <v>46035</v>
      </c>
      <c r="K32" s="42" t="s">
        <v>266</v>
      </c>
    </row>
    <row r="33" spans="3:11" ht="29.5" thickBot="1" x14ac:dyDescent="0.4">
      <c r="C33" s="31" t="s">
        <v>125</v>
      </c>
      <c r="D33" s="50" t="s">
        <v>128</v>
      </c>
      <c r="E33" s="32" t="s">
        <v>128</v>
      </c>
      <c r="F33" s="33">
        <v>45981</v>
      </c>
      <c r="G33" s="34" t="s">
        <v>130</v>
      </c>
      <c r="H33" s="35">
        <v>6477515</v>
      </c>
      <c r="I33" s="36" t="s">
        <v>45</v>
      </c>
      <c r="J33" s="42">
        <v>46035</v>
      </c>
      <c r="K33" s="42" t="s">
        <v>266</v>
      </c>
    </row>
    <row r="34" spans="3:11" ht="29.5" thickBot="1" x14ac:dyDescent="0.4">
      <c r="C34" s="37" t="s">
        <v>131</v>
      </c>
      <c r="D34" s="49" t="s">
        <v>132</v>
      </c>
      <c r="E34" s="38" t="s">
        <v>24</v>
      </c>
      <c r="F34" s="39">
        <v>45982</v>
      </c>
      <c r="G34" s="40" t="s">
        <v>133</v>
      </c>
      <c r="H34" s="41">
        <v>105600000</v>
      </c>
      <c r="I34" s="36" t="s">
        <v>45</v>
      </c>
      <c r="J34" s="43">
        <v>46035</v>
      </c>
      <c r="K34" s="42" t="s">
        <v>266</v>
      </c>
    </row>
    <row r="35" spans="3:11" ht="29.5" thickBot="1" x14ac:dyDescent="0.4">
      <c r="C35" s="31" t="s">
        <v>131</v>
      </c>
      <c r="D35" s="50" t="s">
        <v>132</v>
      </c>
      <c r="E35" s="32" t="s">
        <v>24</v>
      </c>
      <c r="F35" s="33">
        <v>45994</v>
      </c>
      <c r="G35" s="34" t="s">
        <v>134</v>
      </c>
      <c r="H35" s="35">
        <v>62400000</v>
      </c>
      <c r="I35" s="36" t="s">
        <v>45</v>
      </c>
      <c r="J35" s="42">
        <v>46035</v>
      </c>
      <c r="K35" s="42" t="s">
        <v>266</v>
      </c>
    </row>
    <row r="36" spans="3:11" ht="44" thickBot="1" x14ac:dyDescent="0.4">
      <c r="C36" s="37" t="s">
        <v>135</v>
      </c>
      <c r="D36" s="49" t="s">
        <v>98</v>
      </c>
      <c r="E36" s="38" t="s">
        <v>23</v>
      </c>
      <c r="F36" s="39">
        <v>46036</v>
      </c>
      <c r="G36" s="40" t="s">
        <v>136</v>
      </c>
      <c r="H36" s="41">
        <v>316540</v>
      </c>
      <c r="I36" s="36" t="s">
        <v>45</v>
      </c>
      <c r="J36" s="43">
        <v>46036</v>
      </c>
      <c r="K36" s="42" t="s">
        <v>266</v>
      </c>
    </row>
    <row r="37" spans="3:11" ht="44" thickBot="1" x14ac:dyDescent="0.4">
      <c r="C37" s="31" t="s">
        <v>137</v>
      </c>
      <c r="D37" s="50" t="s">
        <v>138</v>
      </c>
      <c r="E37" s="32" t="s">
        <v>23</v>
      </c>
      <c r="F37" s="33">
        <v>46037</v>
      </c>
      <c r="G37" s="34" t="s">
        <v>47</v>
      </c>
      <c r="H37" s="35">
        <v>219814597</v>
      </c>
      <c r="I37" s="36" t="s">
        <v>42</v>
      </c>
      <c r="J37" s="42">
        <v>46037</v>
      </c>
      <c r="K37" s="42" t="s">
        <v>266</v>
      </c>
    </row>
    <row r="38" spans="3:11" ht="15" thickBot="1" x14ac:dyDescent="0.4">
      <c r="C38" s="31" t="s">
        <v>140</v>
      </c>
      <c r="D38" s="50" t="s">
        <v>141</v>
      </c>
      <c r="E38" s="32" t="s">
        <v>142</v>
      </c>
      <c r="F38" s="33">
        <v>46021</v>
      </c>
      <c r="G38" s="34" t="s">
        <v>143</v>
      </c>
      <c r="H38" s="35">
        <v>112383780</v>
      </c>
      <c r="I38" s="36" t="s">
        <v>45</v>
      </c>
      <c r="J38" s="42">
        <v>46037</v>
      </c>
      <c r="K38" s="42" t="s">
        <v>266</v>
      </c>
    </row>
    <row r="39" spans="3:11" ht="44" thickBot="1" x14ac:dyDescent="0.4">
      <c r="C39" s="37" t="s">
        <v>144</v>
      </c>
      <c r="D39" s="49" t="s">
        <v>239</v>
      </c>
      <c r="E39" s="38" t="s">
        <v>28</v>
      </c>
      <c r="F39" s="39">
        <v>46035</v>
      </c>
      <c r="G39" s="40" t="s">
        <v>145</v>
      </c>
      <c r="H39" s="41">
        <v>1500000</v>
      </c>
      <c r="I39" s="36" t="s">
        <v>42</v>
      </c>
      <c r="J39" s="43">
        <v>46041</v>
      </c>
      <c r="K39" s="42" t="s">
        <v>266</v>
      </c>
    </row>
    <row r="40" spans="3:11" ht="44" thickBot="1" x14ac:dyDescent="0.4">
      <c r="C40" s="31" t="s">
        <v>144</v>
      </c>
      <c r="D40" s="50" t="s">
        <v>239</v>
      </c>
      <c r="E40" s="32" t="s">
        <v>28</v>
      </c>
      <c r="F40" s="33">
        <v>46035</v>
      </c>
      <c r="G40" s="34" t="s">
        <v>146</v>
      </c>
      <c r="H40" s="35">
        <v>23000000</v>
      </c>
      <c r="I40" s="36" t="s">
        <v>42</v>
      </c>
      <c r="J40" s="42">
        <v>46041</v>
      </c>
      <c r="K40" s="42" t="s">
        <v>266</v>
      </c>
    </row>
    <row r="41" spans="3:11" ht="29.5" thickBot="1" x14ac:dyDescent="0.4">
      <c r="C41" s="37" t="s">
        <v>50</v>
      </c>
      <c r="D41" s="49" t="s">
        <v>132</v>
      </c>
      <c r="E41" s="38" t="s">
        <v>24</v>
      </c>
      <c r="F41" s="39">
        <v>46001</v>
      </c>
      <c r="G41" s="40" t="s">
        <v>147</v>
      </c>
      <c r="H41" s="41">
        <v>97600000</v>
      </c>
      <c r="I41" s="36" t="s">
        <v>45</v>
      </c>
      <c r="J41" s="43">
        <v>46043</v>
      </c>
      <c r="K41" s="42" t="s">
        <v>266</v>
      </c>
    </row>
    <row r="42" spans="3:11" ht="347.25" customHeight="1" thickBot="1" x14ac:dyDescent="0.4">
      <c r="C42" s="31" t="s">
        <v>148</v>
      </c>
      <c r="D42" s="50"/>
      <c r="E42" s="32" t="s">
        <v>25</v>
      </c>
      <c r="F42" s="33">
        <v>46001</v>
      </c>
      <c r="G42" s="34" t="s">
        <v>149</v>
      </c>
      <c r="H42" s="35">
        <v>32308500</v>
      </c>
      <c r="I42" s="36" t="s">
        <v>45</v>
      </c>
      <c r="J42" s="42">
        <v>46043</v>
      </c>
      <c r="K42" s="42" t="s">
        <v>266</v>
      </c>
    </row>
    <row r="43" spans="3:11" ht="15" thickBot="1" x14ac:dyDescent="0.4">
      <c r="C43" s="37" t="s">
        <v>89</v>
      </c>
      <c r="D43" s="49" t="s">
        <v>223</v>
      </c>
      <c r="E43" s="38" t="s">
        <v>25</v>
      </c>
      <c r="F43" s="39">
        <v>45992</v>
      </c>
      <c r="G43" s="40" t="s">
        <v>150</v>
      </c>
      <c r="H43" s="41">
        <v>9282000</v>
      </c>
      <c r="I43" s="36" t="s">
        <v>45</v>
      </c>
      <c r="J43" s="43">
        <v>46043</v>
      </c>
      <c r="K43" s="42" t="s">
        <v>266</v>
      </c>
    </row>
    <row r="44" spans="3:11" ht="44" thickBot="1" x14ac:dyDescent="0.4">
      <c r="C44" s="31" t="s">
        <v>135</v>
      </c>
      <c r="D44" s="50" t="s">
        <v>98</v>
      </c>
      <c r="E44" s="32" t="s">
        <v>23</v>
      </c>
      <c r="F44" s="33">
        <v>46041</v>
      </c>
      <c r="G44" s="34" t="s">
        <v>151</v>
      </c>
      <c r="H44" s="35">
        <v>2415700</v>
      </c>
      <c r="I44" s="36" t="s">
        <v>45</v>
      </c>
      <c r="J44" s="42">
        <v>46043</v>
      </c>
      <c r="K44" s="42" t="s">
        <v>266</v>
      </c>
    </row>
    <row r="45" spans="3:11" ht="73" thickBot="1" x14ac:dyDescent="0.4">
      <c r="C45" s="37" t="s">
        <v>68</v>
      </c>
      <c r="D45" s="49" t="s">
        <v>240</v>
      </c>
      <c r="E45" s="38" t="s">
        <v>28</v>
      </c>
      <c r="F45" s="39">
        <v>46010</v>
      </c>
      <c r="G45" s="40" t="s">
        <v>154</v>
      </c>
      <c r="H45" s="41">
        <v>18652944</v>
      </c>
      <c r="I45" s="36" t="s">
        <v>45</v>
      </c>
      <c r="J45" s="43">
        <v>46043</v>
      </c>
      <c r="K45" s="42" t="s">
        <v>266</v>
      </c>
    </row>
    <row r="46" spans="3:11" ht="44" thickBot="1" x14ac:dyDescent="0.4">
      <c r="C46" s="31" t="s">
        <v>71</v>
      </c>
      <c r="D46" s="50" t="s">
        <v>98</v>
      </c>
      <c r="E46" s="32" t="s">
        <v>23</v>
      </c>
      <c r="F46" s="33">
        <v>46042</v>
      </c>
      <c r="G46" s="34" t="s">
        <v>155</v>
      </c>
      <c r="H46" s="35">
        <v>980300</v>
      </c>
      <c r="I46" s="36" t="s">
        <v>45</v>
      </c>
      <c r="J46" s="42">
        <v>46043</v>
      </c>
      <c r="K46" s="42" t="s">
        <v>266</v>
      </c>
    </row>
    <row r="47" spans="3:11" ht="44" thickBot="1" x14ac:dyDescent="0.4">
      <c r="C47" s="37" t="s">
        <v>71</v>
      </c>
      <c r="D47" s="49" t="s">
        <v>98</v>
      </c>
      <c r="E47" s="38" t="s">
        <v>23</v>
      </c>
      <c r="F47" s="39">
        <v>46036</v>
      </c>
      <c r="G47" s="40" t="s">
        <v>156</v>
      </c>
      <c r="H47" s="41">
        <v>240000</v>
      </c>
      <c r="I47" s="36" t="s">
        <v>45</v>
      </c>
      <c r="J47" s="43">
        <v>46043</v>
      </c>
      <c r="K47" s="42" t="s">
        <v>266</v>
      </c>
    </row>
    <row r="48" spans="3:11" ht="29.5" thickBot="1" x14ac:dyDescent="0.4">
      <c r="C48" s="31" t="s">
        <v>157</v>
      </c>
      <c r="D48" s="50" t="s">
        <v>241</v>
      </c>
      <c r="E48" s="32" t="s">
        <v>25</v>
      </c>
      <c r="F48" s="33">
        <v>46000</v>
      </c>
      <c r="G48" s="34" t="s">
        <v>158</v>
      </c>
      <c r="H48" s="35">
        <v>27132000</v>
      </c>
      <c r="I48" s="36" t="s">
        <v>45</v>
      </c>
      <c r="J48" s="42">
        <v>46043</v>
      </c>
      <c r="K48" s="42" t="s">
        <v>266</v>
      </c>
    </row>
    <row r="49" spans="3:11" ht="44" thickBot="1" x14ac:dyDescent="0.4">
      <c r="C49" s="37" t="s">
        <v>157</v>
      </c>
      <c r="D49" s="49" t="s">
        <v>242</v>
      </c>
      <c r="E49" s="38" t="s">
        <v>25</v>
      </c>
      <c r="F49" s="39">
        <v>46000</v>
      </c>
      <c r="G49" s="40" t="s">
        <v>159</v>
      </c>
      <c r="H49" s="41">
        <v>29988000</v>
      </c>
      <c r="I49" s="36" t="s">
        <v>45</v>
      </c>
      <c r="J49" s="43">
        <v>46043</v>
      </c>
      <c r="K49" s="42" t="s">
        <v>266</v>
      </c>
    </row>
    <row r="50" spans="3:11" ht="29.5" thickBot="1" x14ac:dyDescent="0.4">
      <c r="C50" s="31" t="s">
        <v>157</v>
      </c>
      <c r="D50" s="50" t="s">
        <v>243</v>
      </c>
      <c r="E50" s="32" t="s">
        <v>25</v>
      </c>
      <c r="F50" s="33">
        <v>46000</v>
      </c>
      <c r="G50" s="34" t="s">
        <v>160</v>
      </c>
      <c r="H50" s="35">
        <v>47481000</v>
      </c>
      <c r="I50" s="36" t="s">
        <v>45</v>
      </c>
      <c r="J50" s="42">
        <v>46043</v>
      </c>
      <c r="K50" s="42" t="s">
        <v>266</v>
      </c>
    </row>
    <row r="51" spans="3:11" ht="29.5" thickBot="1" x14ac:dyDescent="0.4">
      <c r="C51" s="37" t="s">
        <v>157</v>
      </c>
      <c r="D51" s="49" t="s">
        <v>244</v>
      </c>
      <c r="E51" s="38" t="s">
        <v>25</v>
      </c>
      <c r="F51" s="39">
        <v>46000</v>
      </c>
      <c r="G51" s="40" t="s">
        <v>161</v>
      </c>
      <c r="H51" s="41">
        <v>18564000</v>
      </c>
      <c r="I51" s="36" t="s">
        <v>45</v>
      </c>
      <c r="J51" s="43">
        <v>46043</v>
      </c>
      <c r="K51" s="42" t="s">
        <v>266</v>
      </c>
    </row>
    <row r="52" spans="3:11" ht="102" thickBot="1" x14ac:dyDescent="0.4">
      <c r="C52" s="31" t="s">
        <v>162</v>
      </c>
      <c r="D52" s="50" t="s">
        <v>245</v>
      </c>
      <c r="E52" s="32" t="s">
        <v>25</v>
      </c>
      <c r="F52" s="33">
        <v>46004</v>
      </c>
      <c r="G52" s="34" t="s">
        <v>163</v>
      </c>
      <c r="H52" s="35">
        <v>21396200</v>
      </c>
      <c r="I52" s="36" t="s">
        <v>45</v>
      </c>
      <c r="J52" s="42">
        <v>46043</v>
      </c>
      <c r="K52" s="42" t="s">
        <v>266</v>
      </c>
    </row>
    <row r="53" spans="3:11" ht="15" thickBot="1" x14ac:dyDescent="0.4">
      <c r="C53" s="37" t="s">
        <v>73</v>
      </c>
      <c r="D53" s="49" t="s">
        <v>32</v>
      </c>
      <c r="E53" s="38" t="s">
        <v>32</v>
      </c>
      <c r="F53" s="39">
        <v>46000</v>
      </c>
      <c r="G53" s="40" t="s">
        <v>164</v>
      </c>
      <c r="H53" s="41">
        <v>3113000</v>
      </c>
      <c r="I53" s="36" t="s">
        <v>45</v>
      </c>
      <c r="J53" s="43">
        <v>46043</v>
      </c>
      <c r="K53" s="42" t="s">
        <v>266</v>
      </c>
    </row>
    <row r="54" spans="3:11" ht="15" thickBot="1" x14ac:dyDescent="0.4">
      <c r="C54" s="31" t="s">
        <v>73</v>
      </c>
      <c r="D54" s="50" t="s">
        <v>32</v>
      </c>
      <c r="E54" s="32" t="s">
        <v>32</v>
      </c>
      <c r="F54" s="33">
        <v>46000</v>
      </c>
      <c r="G54" s="34" t="s">
        <v>165</v>
      </c>
      <c r="H54" s="35">
        <v>372000</v>
      </c>
      <c r="I54" s="36" t="s">
        <v>45</v>
      </c>
      <c r="J54" s="42">
        <v>46043</v>
      </c>
      <c r="K54" s="42" t="s">
        <v>266</v>
      </c>
    </row>
    <row r="55" spans="3:11" ht="15" thickBot="1" x14ac:dyDescent="0.4">
      <c r="C55" s="37" t="s">
        <v>73</v>
      </c>
      <c r="D55" s="49" t="s">
        <v>32</v>
      </c>
      <c r="E55" s="38" t="s">
        <v>32</v>
      </c>
      <c r="F55" s="39">
        <v>46008</v>
      </c>
      <c r="G55" s="40" t="s">
        <v>166</v>
      </c>
      <c r="H55" s="41">
        <v>1217000</v>
      </c>
      <c r="I55" s="36" t="s">
        <v>45</v>
      </c>
      <c r="J55" s="43">
        <v>46043</v>
      </c>
      <c r="K55" s="42" t="s">
        <v>266</v>
      </c>
    </row>
    <row r="56" spans="3:11" ht="58.5" thickBot="1" x14ac:dyDescent="0.4">
      <c r="C56" s="31" t="s">
        <v>167</v>
      </c>
      <c r="D56" s="50" t="s">
        <v>246</v>
      </c>
      <c r="E56" s="32" t="s">
        <v>29</v>
      </c>
      <c r="F56" s="33">
        <v>46002</v>
      </c>
      <c r="G56" s="34" t="s">
        <v>168</v>
      </c>
      <c r="H56" s="35">
        <v>27200000</v>
      </c>
      <c r="I56" s="36" t="s">
        <v>45</v>
      </c>
      <c r="J56" s="42">
        <v>46043</v>
      </c>
      <c r="K56" s="42" t="s">
        <v>266</v>
      </c>
    </row>
    <row r="57" spans="3:11" ht="58.5" thickBot="1" x14ac:dyDescent="0.4">
      <c r="C57" s="37" t="s">
        <v>169</v>
      </c>
      <c r="D57" s="49" t="s">
        <v>247</v>
      </c>
      <c r="E57" s="38" t="s">
        <v>33</v>
      </c>
      <c r="F57" s="39">
        <v>45975</v>
      </c>
      <c r="G57" s="40" t="s">
        <v>170</v>
      </c>
      <c r="H57" s="41">
        <v>62400102</v>
      </c>
      <c r="I57" s="36" t="s">
        <v>45</v>
      </c>
      <c r="J57" s="43">
        <v>46043</v>
      </c>
      <c r="K57" s="42" t="s">
        <v>266</v>
      </c>
    </row>
    <row r="58" spans="3:11" ht="189" thickBot="1" x14ac:dyDescent="0.4">
      <c r="C58" s="37" t="s">
        <v>174</v>
      </c>
      <c r="D58" s="49" t="s">
        <v>248</v>
      </c>
      <c r="E58" s="38" t="s">
        <v>25</v>
      </c>
      <c r="F58" s="39">
        <v>45966</v>
      </c>
      <c r="G58" s="40" t="s">
        <v>175</v>
      </c>
      <c r="H58" s="41">
        <v>81526900</v>
      </c>
      <c r="I58" s="36" t="s">
        <v>45</v>
      </c>
      <c r="J58" s="43">
        <v>46043</v>
      </c>
      <c r="K58" s="42" t="s">
        <v>266</v>
      </c>
    </row>
    <row r="59" spans="3:11" ht="44" thickBot="1" x14ac:dyDescent="0.4">
      <c r="C59" s="31" t="s">
        <v>176</v>
      </c>
      <c r="D59" s="50" t="s">
        <v>249</v>
      </c>
      <c r="E59" s="32" t="s">
        <v>28</v>
      </c>
      <c r="F59" s="33">
        <v>46002</v>
      </c>
      <c r="G59" s="34" t="s">
        <v>177</v>
      </c>
      <c r="H59" s="35">
        <v>5271500</v>
      </c>
      <c r="I59" s="36" t="s">
        <v>45</v>
      </c>
      <c r="J59" s="42">
        <v>46043</v>
      </c>
      <c r="K59" s="42" t="s">
        <v>266</v>
      </c>
    </row>
    <row r="60" spans="3:11" ht="44" thickBot="1" x14ac:dyDescent="0.4">
      <c r="C60" s="37" t="s">
        <v>178</v>
      </c>
      <c r="D60" s="51">
        <v>46023</v>
      </c>
      <c r="E60" s="38" t="s">
        <v>23</v>
      </c>
      <c r="F60" s="39">
        <v>46037</v>
      </c>
      <c r="G60" s="40" t="s">
        <v>216</v>
      </c>
      <c r="H60" s="41">
        <v>124928300</v>
      </c>
      <c r="I60" s="36" t="s">
        <v>42</v>
      </c>
      <c r="J60" s="43">
        <v>46043</v>
      </c>
      <c r="K60" s="42" t="s">
        <v>266</v>
      </c>
    </row>
    <row r="61" spans="3:11" ht="29.5" thickBot="1" x14ac:dyDescent="0.4">
      <c r="C61" s="31" t="s">
        <v>179</v>
      </c>
      <c r="D61" s="50" t="s">
        <v>30</v>
      </c>
      <c r="E61" s="32" t="s">
        <v>30</v>
      </c>
      <c r="F61" s="33">
        <v>46032</v>
      </c>
      <c r="G61" s="34" t="s">
        <v>180</v>
      </c>
      <c r="H61" s="35">
        <v>1385399</v>
      </c>
      <c r="I61" s="36" t="s">
        <v>45</v>
      </c>
      <c r="J61" s="42">
        <v>46044</v>
      </c>
      <c r="K61" s="42" t="s">
        <v>266</v>
      </c>
    </row>
    <row r="62" spans="3:11" ht="44" thickBot="1" x14ac:dyDescent="0.4">
      <c r="C62" s="37" t="s">
        <v>181</v>
      </c>
      <c r="D62" s="49" t="s">
        <v>250</v>
      </c>
      <c r="E62" s="38" t="s">
        <v>28</v>
      </c>
      <c r="F62" s="39">
        <v>46013</v>
      </c>
      <c r="G62" s="40" t="s">
        <v>182</v>
      </c>
      <c r="H62" s="41">
        <v>13100000</v>
      </c>
      <c r="I62" s="36" t="s">
        <v>45</v>
      </c>
      <c r="J62" s="43">
        <v>46046</v>
      </c>
      <c r="K62" s="42" t="s">
        <v>266</v>
      </c>
    </row>
    <row r="63" spans="3:11" ht="44" thickBot="1" x14ac:dyDescent="0.4">
      <c r="C63" s="31" t="s">
        <v>183</v>
      </c>
      <c r="D63" s="50" t="s">
        <v>30</v>
      </c>
      <c r="E63" s="32" t="s">
        <v>30</v>
      </c>
      <c r="F63" s="33">
        <v>46037</v>
      </c>
      <c r="G63" s="34" t="s">
        <v>184</v>
      </c>
      <c r="H63" s="35">
        <v>1368919</v>
      </c>
      <c r="I63" s="36" t="s">
        <v>45</v>
      </c>
      <c r="J63" s="42">
        <v>46046</v>
      </c>
      <c r="K63" s="42" t="s">
        <v>266</v>
      </c>
    </row>
    <row r="64" spans="3:11" ht="29.5" thickBot="1" x14ac:dyDescent="0.4">
      <c r="C64" s="37" t="s">
        <v>185</v>
      </c>
      <c r="D64" s="49" t="s">
        <v>30</v>
      </c>
      <c r="E64" s="38" t="s">
        <v>30</v>
      </c>
      <c r="F64" s="39">
        <v>46035</v>
      </c>
      <c r="G64" s="40" t="s">
        <v>186</v>
      </c>
      <c r="H64" s="41">
        <v>3680004</v>
      </c>
      <c r="I64" s="36" t="s">
        <v>45</v>
      </c>
      <c r="J64" s="43">
        <v>46046</v>
      </c>
      <c r="K64" s="42" t="s">
        <v>266</v>
      </c>
    </row>
    <row r="65" spans="3:11" ht="29.5" thickBot="1" x14ac:dyDescent="0.4">
      <c r="C65" s="31" t="s">
        <v>187</v>
      </c>
      <c r="D65" s="50" t="s">
        <v>267</v>
      </c>
      <c r="E65" s="32" t="s">
        <v>30</v>
      </c>
      <c r="F65" s="33">
        <v>46047</v>
      </c>
      <c r="G65" s="34" t="s">
        <v>188</v>
      </c>
      <c r="H65" s="35">
        <v>1250000</v>
      </c>
      <c r="I65" s="36" t="s">
        <v>45</v>
      </c>
      <c r="J65" s="42">
        <v>46049</v>
      </c>
      <c r="K65" s="42" t="s">
        <v>266</v>
      </c>
    </row>
    <row r="66" spans="3:11" ht="44" thickBot="1" x14ac:dyDescent="0.4">
      <c r="C66" s="37" t="s">
        <v>189</v>
      </c>
      <c r="D66" s="49" t="s">
        <v>251</v>
      </c>
      <c r="E66" s="38" t="s">
        <v>28</v>
      </c>
      <c r="F66" s="39">
        <v>46038</v>
      </c>
      <c r="G66" s="40" t="s">
        <v>190</v>
      </c>
      <c r="H66" s="41">
        <v>5150000</v>
      </c>
      <c r="I66" s="36" t="s">
        <v>45</v>
      </c>
      <c r="J66" s="43">
        <v>46049</v>
      </c>
      <c r="K66" s="42" t="s">
        <v>266</v>
      </c>
    </row>
    <row r="67" spans="3:11" ht="44" thickBot="1" x14ac:dyDescent="0.4">
      <c r="C67" s="31" t="s">
        <v>135</v>
      </c>
      <c r="D67" s="50" t="s">
        <v>98</v>
      </c>
      <c r="E67" s="32" t="s">
        <v>23</v>
      </c>
      <c r="F67" s="33">
        <v>46048</v>
      </c>
      <c r="G67" s="34" t="s">
        <v>191</v>
      </c>
      <c r="H67" s="35">
        <v>4248300</v>
      </c>
      <c r="I67" s="36" t="s">
        <v>45</v>
      </c>
      <c r="J67" s="42">
        <v>46049</v>
      </c>
      <c r="K67" s="42" t="s">
        <v>266</v>
      </c>
    </row>
    <row r="68" spans="3:11" ht="29.5" thickBot="1" x14ac:dyDescent="0.4">
      <c r="C68" s="37" t="s">
        <v>185</v>
      </c>
      <c r="D68" s="49" t="s">
        <v>30</v>
      </c>
      <c r="E68" s="38" t="s">
        <v>30</v>
      </c>
      <c r="F68" s="39">
        <v>46047</v>
      </c>
      <c r="G68" s="40" t="s">
        <v>192</v>
      </c>
      <c r="H68" s="41">
        <v>178500</v>
      </c>
      <c r="I68" s="36" t="s">
        <v>45</v>
      </c>
      <c r="J68" s="43">
        <v>46049</v>
      </c>
      <c r="K68" s="42" t="s">
        <v>266</v>
      </c>
    </row>
    <row r="69" spans="3:11" ht="44" thickBot="1" x14ac:dyDescent="0.4">
      <c r="C69" s="31" t="s">
        <v>193</v>
      </c>
      <c r="D69" s="50" t="s">
        <v>252</v>
      </c>
      <c r="E69" s="32" t="s">
        <v>28</v>
      </c>
      <c r="F69" s="33">
        <v>46028</v>
      </c>
      <c r="G69" s="34" t="s">
        <v>194</v>
      </c>
      <c r="H69" s="35">
        <v>16500000</v>
      </c>
      <c r="I69" s="36" t="s">
        <v>45</v>
      </c>
      <c r="J69" s="42">
        <v>46049</v>
      </c>
      <c r="K69" s="42" t="s">
        <v>266</v>
      </c>
    </row>
    <row r="70" spans="3:11" ht="15" thickBot="1" x14ac:dyDescent="0.4">
      <c r="C70" s="37" t="s">
        <v>195</v>
      </c>
      <c r="D70" s="49" t="s">
        <v>253</v>
      </c>
      <c r="E70" s="38" t="s">
        <v>35</v>
      </c>
      <c r="F70" s="39">
        <v>46028</v>
      </c>
      <c r="G70" s="40" t="s">
        <v>196</v>
      </c>
      <c r="H70" s="41">
        <v>4000000</v>
      </c>
      <c r="I70" s="36" t="s">
        <v>45</v>
      </c>
      <c r="J70" s="43">
        <v>46050</v>
      </c>
      <c r="K70" s="42" t="s">
        <v>266</v>
      </c>
    </row>
    <row r="71" spans="3:11" ht="15" thickBot="1" x14ac:dyDescent="0.4">
      <c r="C71" s="37" t="s">
        <v>215</v>
      </c>
      <c r="D71" s="51">
        <v>46023</v>
      </c>
      <c r="E71" s="38" t="s">
        <v>27</v>
      </c>
      <c r="F71" s="39" t="s">
        <v>216</v>
      </c>
      <c r="G71" s="40" t="s">
        <v>216</v>
      </c>
      <c r="H71" s="41">
        <v>50000000</v>
      </c>
      <c r="I71" s="36" t="s">
        <v>42</v>
      </c>
      <c r="J71" s="43">
        <v>46052</v>
      </c>
      <c r="K71" s="42" t="s">
        <v>266</v>
      </c>
    </row>
    <row r="72" spans="3:11" ht="58.5" thickBot="1" x14ac:dyDescent="0.4">
      <c r="C72" s="31" t="s">
        <v>198</v>
      </c>
      <c r="D72" s="50" t="s">
        <v>33</v>
      </c>
      <c r="E72" s="32" t="s">
        <v>33</v>
      </c>
      <c r="F72" s="33">
        <v>46048</v>
      </c>
      <c r="G72" s="34" t="s">
        <v>199</v>
      </c>
      <c r="H72" s="35">
        <v>180000</v>
      </c>
      <c r="I72" s="36" t="s">
        <v>45</v>
      </c>
      <c r="J72" s="42">
        <v>46052</v>
      </c>
      <c r="K72" s="42" t="s">
        <v>266</v>
      </c>
    </row>
    <row r="73" spans="3:11" ht="44" thickBot="1" x14ac:dyDescent="0.4">
      <c r="C73" s="37" t="s">
        <v>200</v>
      </c>
      <c r="D73" s="49" t="s">
        <v>201</v>
      </c>
      <c r="E73" s="38" t="s">
        <v>28</v>
      </c>
      <c r="F73" s="39">
        <v>46049</v>
      </c>
      <c r="G73" s="40" t="s">
        <v>202</v>
      </c>
      <c r="H73" s="41">
        <v>1768340</v>
      </c>
      <c r="I73" s="36" t="s">
        <v>45</v>
      </c>
      <c r="J73" s="43">
        <v>46052</v>
      </c>
      <c r="K73" s="42" t="s">
        <v>266</v>
      </c>
    </row>
    <row r="74" spans="3:11" ht="15" thickBot="1" x14ac:dyDescent="0.4">
      <c r="C74" s="31" t="s">
        <v>203</v>
      </c>
      <c r="D74" s="50" t="s">
        <v>32</v>
      </c>
      <c r="E74" s="32" t="s">
        <v>32</v>
      </c>
      <c r="F74" s="33">
        <v>46048</v>
      </c>
      <c r="G74" s="34" t="s">
        <v>204</v>
      </c>
      <c r="H74" s="35">
        <v>2856000</v>
      </c>
      <c r="I74" s="36" t="s">
        <v>45</v>
      </c>
      <c r="J74" s="42">
        <v>46052</v>
      </c>
      <c r="K74" s="42" t="s">
        <v>266</v>
      </c>
    </row>
    <row r="75" spans="3:11" ht="15" thickBot="1" x14ac:dyDescent="0.4">
      <c r="C75" s="37" t="s">
        <v>205</v>
      </c>
      <c r="D75" s="49" t="s">
        <v>32</v>
      </c>
      <c r="E75" s="38" t="s">
        <v>32</v>
      </c>
      <c r="F75" s="39">
        <v>46049</v>
      </c>
      <c r="G75" s="40" t="s">
        <v>206</v>
      </c>
      <c r="H75" s="41">
        <v>1737400</v>
      </c>
      <c r="I75" s="36" t="s">
        <v>45</v>
      </c>
      <c r="J75" s="43">
        <v>46052</v>
      </c>
      <c r="K75" s="42" t="s">
        <v>266</v>
      </c>
    </row>
    <row r="76" spans="3:11" ht="29.5" thickBot="1" x14ac:dyDescent="0.4">
      <c r="C76" s="31" t="s">
        <v>207</v>
      </c>
      <c r="D76" s="50" t="s">
        <v>30</v>
      </c>
      <c r="E76" s="32" t="s">
        <v>30</v>
      </c>
      <c r="F76" s="33">
        <v>46049</v>
      </c>
      <c r="G76" s="34" t="s">
        <v>208</v>
      </c>
      <c r="H76" s="35">
        <v>785400</v>
      </c>
      <c r="I76" s="36" t="s">
        <v>45</v>
      </c>
      <c r="J76" s="42">
        <v>46052</v>
      </c>
      <c r="K76" s="42" t="s">
        <v>266</v>
      </c>
    </row>
    <row r="77" spans="3:11" ht="44" thickBot="1" x14ac:dyDescent="0.4">
      <c r="C77" s="37" t="s">
        <v>46</v>
      </c>
      <c r="D77" s="49" t="s">
        <v>138</v>
      </c>
      <c r="E77" s="38" t="s">
        <v>23</v>
      </c>
      <c r="F77" s="39">
        <v>46052</v>
      </c>
      <c r="G77" s="40" t="s">
        <v>209</v>
      </c>
      <c r="H77" s="41">
        <v>226090988</v>
      </c>
      <c r="I77" s="36" t="s">
        <v>42</v>
      </c>
      <c r="J77" s="43">
        <v>46052</v>
      </c>
      <c r="K77" s="42" t="s">
        <v>266</v>
      </c>
    </row>
    <row r="78" spans="3:11" ht="29.5" thickBot="1" x14ac:dyDescent="0.4">
      <c r="C78" s="37" t="s">
        <v>210</v>
      </c>
      <c r="D78" s="51">
        <v>46023</v>
      </c>
      <c r="E78" s="38" t="s">
        <v>211</v>
      </c>
      <c r="F78" s="39">
        <v>46052</v>
      </c>
      <c r="G78" s="40" t="s">
        <v>216</v>
      </c>
      <c r="H78" s="41">
        <v>70043157</v>
      </c>
      <c r="I78" s="36" t="s">
        <v>45</v>
      </c>
      <c r="J78" s="43">
        <v>46052</v>
      </c>
      <c r="K78" s="42" t="s">
        <v>266</v>
      </c>
    </row>
    <row r="79" spans="3:11" ht="29.5" thickBot="1" x14ac:dyDescent="0.4">
      <c r="C79" s="31" t="s">
        <v>212</v>
      </c>
      <c r="D79" s="51">
        <v>46023</v>
      </c>
      <c r="E79" s="32" t="s">
        <v>31</v>
      </c>
      <c r="F79" s="33">
        <v>46052</v>
      </c>
      <c r="G79" s="34" t="s">
        <v>216</v>
      </c>
      <c r="H79" s="35">
        <v>50937790</v>
      </c>
      <c r="I79" s="36" t="s">
        <v>45</v>
      </c>
      <c r="J79" s="42">
        <v>46052</v>
      </c>
      <c r="K79" s="42" t="s">
        <v>266</v>
      </c>
    </row>
    <row r="80" spans="3:11" ht="29.5" thickBot="1" x14ac:dyDescent="0.4">
      <c r="C80" s="37" t="s">
        <v>254</v>
      </c>
      <c r="D80" s="51">
        <v>46023</v>
      </c>
      <c r="E80" s="38" t="s">
        <v>34</v>
      </c>
      <c r="F80" s="33">
        <v>46052</v>
      </c>
      <c r="G80" s="40" t="s">
        <v>216</v>
      </c>
      <c r="H80" s="41">
        <f>0.5%*'BALANCE ENERO 2026'!E11</f>
        <v>13952223.978557153</v>
      </c>
      <c r="I80" s="36" t="s">
        <v>45</v>
      </c>
      <c r="J80" s="43">
        <v>46052</v>
      </c>
      <c r="K80" s="42" t="s">
        <v>266</v>
      </c>
    </row>
    <row r="81" spans="3:11" ht="44" thickBot="1" x14ac:dyDescent="0.4">
      <c r="C81" s="31" t="s">
        <v>43</v>
      </c>
      <c r="D81" s="50" t="s">
        <v>221</v>
      </c>
      <c r="E81" s="32" t="s">
        <v>55</v>
      </c>
      <c r="F81" s="33">
        <v>46027</v>
      </c>
      <c r="G81" s="34" t="s">
        <v>44</v>
      </c>
      <c r="H81" s="35">
        <v>739941</v>
      </c>
      <c r="I81" s="36" t="s">
        <v>45</v>
      </c>
      <c r="J81" s="42">
        <v>46027</v>
      </c>
      <c r="K81" s="42" t="s">
        <v>265</v>
      </c>
    </row>
    <row r="82" spans="3:11" ht="15" thickBot="1" x14ac:dyDescent="0.4">
      <c r="C82" s="31" t="s">
        <v>48</v>
      </c>
      <c r="D82" s="50" t="s">
        <v>30</v>
      </c>
      <c r="E82" s="32" t="s">
        <v>30</v>
      </c>
      <c r="F82" s="33">
        <v>46028</v>
      </c>
      <c r="G82" s="34" t="s">
        <v>49</v>
      </c>
      <c r="H82" s="35">
        <v>546210</v>
      </c>
      <c r="I82" s="36" t="s">
        <v>45</v>
      </c>
      <c r="J82" s="42">
        <v>46028</v>
      </c>
      <c r="K82" s="42" t="s">
        <v>265</v>
      </c>
    </row>
    <row r="83" spans="3:11" ht="44" thickBot="1" x14ac:dyDescent="0.4">
      <c r="C83" s="37" t="s">
        <v>53</v>
      </c>
      <c r="D83" s="49" t="s">
        <v>54</v>
      </c>
      <c r="E83" s="38" t="s">
        <v>55</v>
      </c>
      <c r="F83" s="39">
        <v>45992</v>
      </c>
      <c r="G83" s="40" t="s">
        <v>56</v>
      </c>
      <c r="H83" s="41">
        <v>375449</v>
      </c>
      <c r="I83" s="36" t="s">
        <v>45</v>
      </c>
      <c r="J83" s="43">
        <v>46028</v>
      </c>
      <c r="K83" s="42" t="s">
        <v>265</v>
      </c>
    </row>
    <row r="84" spans="3:11" ht="44" thickBot="1" x14ac:dyDescent="0.4">
      <c r="C84" s="31" t="s">
        <v>53</v>
      </c>
      <c r="D84" s="50" t="s">
        <v>57</v>
      </c>
      <c r="E84" s="32" t="s">
        <v>55</v>
      </c>
      <c r="F84" s="33">
        <v>45992</v>
      </c>
      <c r="G84" s="34" t="s">
        <v>58</v>
      </c>
      <c r="H84" s="35">
        <v>77000</v>
      </c>
      <c r="I84" s="36" t="s">
        <v>45</v>
      </c>
      <c r="J84" s="42">
        <v>46028</v>
      </c>
      <c r="K84" s="42" t="s">
        <v>265</v>
      </c>
    </row>
    <row r="85" spans="3:11" ht="44" thickBot="1" x14ac:dyDescent="0.4">
      <c r="C85" s="37" t="s">
        <v>53</v>
      </c>
      <c r="D85" s="49" t="s">
        <v>59</v>
      </c>
      <c r="E85" s="38" t="s">
        <v>55</v>
      </c>
      <c r="F85" s="39">
        <v>45995</v>
      </c>
      <c r="G85" s="40" t="s">
        <v>60</v>
      </c>
      <c r="H85" s="41">
        <v>37490</v>
      </c>
      <c r="I85" s="36" t="s">
        <v>45</v>
      </c>
      <c r="J85" s="43">
        <v>46028</v>
      </c>
      <c r="K85" s="42" t="s">
        <v>265</v>
      </c>
    </row>
    <row r="86" spans="3:11" ht="44" thickBot="1" x14ac:dyDescent="0.4">
      <c r="C86" s="31" t="s">
        <v>61</v>
      </c>
      <c r="D86" s="50" t="s">
        <v>57</v>
      </c>
      <c r="E86" s="32" t="s">
        <v>55</v>
      </c>
      <c r="F86" s="33">
        <v>46023</v>
      </c>
      <c r="G86" s="34" t="s">
        <v>62</v>
      </c>
      <c r="H86" s="35">
        <v>80000</v>
      </c>
      <c r="I86" s="36" t="s">
        <v>45</v>
      </c>
      <c r="J86" s="42">
        <v>46028</v>
      </c>
      <c r="K86" s="42" t="s">
        <v>265</v>
      </c>
    </row>
    <row r="87" spans="3:11" ht="44" thickBot="1" x14ac:dyDescent="0.4">
      <c r="C87" s="37" t="s">
        <v>63</v>
      </c>
      <c r="D87" s="49" t="s">
        <v>64</v>
      </c>
      <c r="E87" s="38" t="s">
        <v>55</v>
      </c>
      <c r="F87" s="39">
        <v>45992</v>
      </c>
      <c r="G87" s="40" t="s">
        <v>65</v>
      </c>
      <c r="H87" s="41">
        <v>1178469</v>
      </c>
      <c r="I87" s="36" t="s">
        <v>45</v>
      </c>
      <c r="J87" s="43">
        <v>46028</v>
      </c>
      <c r="K87" s="42" t="s">
        <v>265</v>
      </c>
    </row>
    <row r="88" spans="3:11" ht="44" thickBot="1" x14ac:dyDescent="0.4">
      <c r="C88" s="31" t="s">
        <v>63</v>
      </c>
      <c r="D88" s="50" t="s">
        <v>66</v>
      </c>
      <c r="E88" s="32" t="s">
        <v>55</v>
      </c>
      <c r="F88" s="33">
        <v>45993</v>
      </c>
      <c r="G88" s="34" t="s">
        <v>67</v>
      </c>
      <c r="H88" s="35">
        <v>233524</v>
      </c>
      <c r="I88" s="36" t="s">
        <v>45</v>
      </c>
      <c r="J88" s="42">
        <v>46028</v>
      </c>
      <c r="K88" s="42" t="s">
        <v>265</v>
      </c>
    </row>
    <row r="89" spans="3:11" ht="15" thickBot="1" x14ac:dyDescent="0.4">
      <c r="C89" s="31" t="s">
        <v>80</v>
      </c>
      <c r="D89" s="50" t="s">
        <v>81</v>
      </c>
      <c r="E89" s="32" t="s">
        <v>26</v>
      </c>
      <c r="F89" s="33">
        <v>46007</v>
      </c>
      <c r="G89" s="34" t="s">
        <v>82</v>
      </c>
      <c r="H89" s="35">
        <v>3000000</v>
      </c>
      <c r="I89" s="36" t="s">
        <v>45</v>
      </c>
      <c r="J89" s="42">
        <v>46028</v>
      </c>
      <c r="K89" s="42" t="s">
        <v>265</v>
      </c>
    </row>
    <row r="90" spans="3:11" ht="29.5" thickBot="1" x14ac:dyDescent="0.4">
      <c r="C90" s="37" t="s">
        <v>83</v>
      </c>
      <c r="D90" s="49" t="s">
        <v>84</v>
      </c>
      <c r="E90" s="38" t="s">
        <v>85</v>
      </c>
      <c r="F90" s="39">
        <v>46002</v>
      </c>
      <c r="G90" s="40" t="s">
        <v>86</v>
      </c>
      <c r="H90" s="41">
        <v>1908919</v>
      </c>
      <c r="I90" s="36" t="s">
        <v>45</v>
      </c>
      <c r="J90" s="43">
        <v>46028</v>
      </c>
      <c r="K90" s="42" t="s">
        <v>265</v>
      </c>
    </row>
    <row r="91" spans="3:11" ht="44" thickBot="1" x14ac:dyDescent="0.4">
      <c r="C91" s="31" t="s">
        <v>219</v>
      </c>
      <c r="D91" s="50" t="s">
        <v>220</v>
      </c>
      <c r="E91" s="32" t="s">
        <v>55</v>
      </c>
      <c r="F91" s="33">
        <v>46030</v>
      </c>
      <c r="G91" s="34"/>
      <c r="H91" s="35">
        <v>2043157</v>
      </c>
      <c r="I91" s="36" t="s">
        <v>42</v>
      </c>
      <c r="J91" s="42">
        <v>46030</v>
      </c>
      <c r="K91" s="42" t="s">
        <v>265</v>
      </c>
    </row>
    <row r="92" spans="3:11" ht="58.5" thickBot="1" x14ac:dyDescent="0.4">
      <c r="C92" s="37" t="s">
        <v>94</v>
      </c>
      <c r="D92" s="49" t="s">
        <v>95</v>
      </c>
      <c r="E92" s="38" t="s">
        <v>28</v>
      </c>
      <c r="F92" s="39">
        <v>46014</v>
      </c>
      <c r="G92" s="40" t="s">
        <v>96</v>
      </c>
      <c r="H92" s="41">
        <v>1680000</v>
      </c>
      <c r="I92" s="36" t="s">
        <v>45</v>
      </c>
      <c r="J92" s="43">
        <v>46031</v>
      </c>
      <c r="K92" s="42" t="s">
        <v>265</v>
      </c>
    </row>
    <row r="93" spans="3:11" ht="29.5" thickBot="1" x14ac:dyDescent="0.4">
      <c r="C93" s="37" t="s">
        <v>107</v>
      </c>
      <c r="D93" s="49" t="s">
        <v>108</v>
      </c>
      <c r="E93" s="38" t="s">
        <v>26</v>
      </c>
      <c r="F93" s="39">
        <v>45994</v>
      </c>
      <c r="G93" s="40" t="s">
        <v>109</v>
      </c>
      <c r="H93" s="41">
        <v>3387930</v>
      </c>
      <c r="I93" s="36" t="s">
        <v>45</v>
      </c>
      <c r="J93" s="43">
        <v>46035</v>
      </c>
      <c r="K93" s="42" t="s">
        <v>265</v>
      </c>
    </row>
    <row r="94" spans="3:11" ht="44" thickBot="1" x14ac:dyDescent="0.4">
      <c r="C94" s="37" t="s">
        <v>137</v>
      </c>
      <c r="D94" s="49" t="s">
        <v>139</v>
      </c>
      <c r="E94" s="38" t="s">
        <v>23</v>
      </c>
      <c r="F94" s="39">
        <v>46037</v>
      </c>
      <c r="G94" s="40" t="s">
        <v>47</v>
      </c>
      <c r="H94" s="41">
        <v>18350847</v>
      </c>
      <c r="I94" s="36" t="s">
        <v>45</v>
      </c>
      <c r="J94" s="43">
        <v>46037</v>
      </c>
      <c r="K94" s="42" t="s">
        <v>265</v>
      </c>
    </row>
    <row r="95" spans="3:11" ht="44" thickBot="1" x14ac:dyDescent="0.4">
      <c r="C95" s="37" t="s">
        <v>63</v>
      </c>
      <c r="D95" s="49" t="s">
        <v>66</v>
      </c>
      <c r="E95" s="38" t="s">
        <v>55</v>
      </c>
      <c r="F95" s="39">
        <v>46030</v>
      </c>
      <c r="G95" s="40" t="s">
        <v>152</v>
      </c>
      <c r="H95" s="41">
        <v>327894</v>
      </c>
      <c r="I95" s="36" t="s">
        <v>45</v>
      </c>
      <c r="J95" s="43">
        <v>46043</v>
      </c>
      <c r="K95" s="42" t="s">
        <v>265</v>
      </c>
    </row>
    <row r="96" spans="3:11" ht="44" thickBot="1" x14ac:dyDescent="0.4">
      <c r="C96" s="31" t="s">
        <v>63</v>
      </c>
      <c r="D96" s="50" t="s">
        <v>64</v>
      </c>
      <c r="E96" s="32" t="s">
        <v>55</v>
      </c>
      <c r="F96" s="33">
        <v>46035</v>
      </c>
      <c r="G96" s="34" t="s">
        <v>153</v>
      </c>
      <c r="H96" s="35">
        <v>1238571</v>
      </c>
      <c r="I96" s="36" t="s">
        <v>45</v>
      </c>
      <c r="J96" s="42">
        <v>46043</v>
      </c>
      <c r="K96" s="42" t="s">
        <v>265</v>
      </c>
    </row>
    <row r="97" spans="2:11" ht="15" thickBot="1" x14ac:dyDescent="0.4">
      <c r="C97" s="31" t="s">
        <v>171</v>
      </c>
      <c r="D97" s="50" t="s">
        <v>172</v>
      </c>
      <c r="E97" s="32" t="s">
        <v>26</v>
      </c>
      <c r="F97" s="33">
        <v>46014</v>
      </c>
      <c r="G97" s="34" t="s">
        <v>173</v>
      </c>
      <c r="H97" s="35">
        <v>4760000</v>
      </c>
      <c r="I97" s="36" t="s">
        <v>45</v>
      </c>
      <c r="J97" s="42">
        <v>46043</v>
      </c>
      <c r="K97" s="42" t="s">
        <v>265</v>
      </c>
    </row>
    <row r="98" spans="2:11" ht="33.75" customHeight="1" thickBot="1" x14ac:dyDescent="0.4">
      <c r="C98" s="31" t="s">
        <v>80</v>
      </c>
      <c r="D98" s="50" t="s">
        <v>172</v>
      </c>
      <c r="E98" s="32" t="s">
        <v>26</v>
      </c>
      <c r="F98" s="33">
        <v>46043</v>
      </c>
      <c r="G98" s="34" t="s">
        <v>197</v>
      </c>
      <c r="H98" s="35">
        <v>3000000</v>
      </c>
      <c r="I98" s="36" t="s">
        <v>45</v>
      </c>
      <c r="J98" s="42">
        <v>46050</v>
      </c>
      <c r="K98" s="42" t="s">
        <v>265</v>
      </c>
    </row>
    <row r="99" spans="2:11" ht="44" thickBot="1" x14ac:dyDescent="0.4">
      <c r="C99" s="31" t="s">
        <v>46</v>
      </c>
      <c r="D99" s="50" t="s">
        <v>139</v>
      </c>
      <c r="E99" s="32" t="s">
        <v>23</v>
      </c>
      <c r="F99" s="33">
        <v>46052</v>
      </c>
      <c r="G99" s="34" t="s">
        <v>209</v>
      </c>
      <c r="H99" s="35">
        <v>16288757</v>
      </c>
      <c r="I99" s="36" t="s">
        <v>42</v>
      </c>
      <c r="J99" s="42">
        <v>46052</v>
      </c>
      <c r="K99" s="42" t="s">
        <v>265</v>
      </c>
    </row>
    <row r="101" spans="2:11" x14ac:dyDescent="0.35">
      <c r="B101" s="44"/>
      <c r="C101" s="176" t="s">
        <v>213</v>
      </c>
      <c r="D101" s="177"/>
      <c r="E101" s="23"/>
    </row>
    <row r="102" spans="2:11" x14ac:dyDescent="0.35">
      <c r="C102" s="24">
        <v>46023</v>
      </c>
      <c r="D102" s="45">
        <v>3757.08</v>
      </c>
      <c r="H102" s="25"/>
      <c r="I102" s="26"/>
    </row>
    <row r="103" spans="2:11" x14ac:dyDescent="0.35">
      <c r="C103" s="27">
        <v>46024</v>
      </c>
      <c r="D103" s="46">
        <v>3757.08</v>
      </c>
    </row>
    <row r="104" spans="2:11" x14ac:dyDescent="0.35">
      <c r="C104" s="27">
        <v>46025</v>
      </c>
      <c r="D104" s="46">
        <v>3790.77</v>
      </c>
    </row>
    <row r="105" spans="2:11" x14ac:dyDescent="0.35">
      <c r="C105" s="27">
        <v>46026</v>
      </c>
      <c r="D105" s="46">
        <v>3790.77</v>
      </c>
    </row>
    <row r="106" spans="2:11" x14ac:dyDescent="0.35">
      <c r="C106" s="27">
        <v>46027</v>
      </c>
      <c r="D106" s="46">
        <v>3790.77</v>
      </c>
    </row>
    <row r="107" spans="2:11" x14ac:dyDescent="0.35">
      <c r="C107" s="27">
        <v>46028</v>
      </c>
      <c r="D107" s="46">
        <v>3770.03</v>
      </c>
    </row>
    <row r="108" spans="2:11" x14ac:dyDescent="0.35">
      <c r="C108" s="27">
        <v>46029</v>
      </c>
      <c r="D108" s="46">
        <v>3730.26</v>
      </c>
    </row>
    <row r="109" spans="2:11" x14ac:dyDescent="0.35">
      <c r="C109" s="27">
        <v>46030</v>
      </c>
      <c r="D109" s="46">
        <v>3748.83</v>
      </c>
    </row>
    <row r="110" spans="2:11" ht="13.9" customHeight="1" x14ac:dyDescent="0.35">
      <c r="C110" s="27">
        <v>46031</v>
      </c>
      <c r="D110" s="46">
        <v>3734.67</v>
      </c>
    </row>
    <row r="111" spans="2:11" x14ac:dyDescent="0.35">
      <c r="C111" s="27">
        <v>46032</v>
      </c>
      <c r="D111" s="46">
        <v>3717.09</v>
      </c>
    </row>
    <row r="112" spans="2:11" x14ac:dyDescent="0.35">
      <c r="C112" s="27">
        <v>46033</v>
      </c>
      <c r="D112" s="46">
        <v>3717.09</v>
      </c>
    </row>
    <row r="113" spans="3:4" x14ac:dyDescent="0.35">
      <c r="C113" s="27">
        <v>46034</v>
      </c>
      <c r="D113" s="46">
        <v>3717.09</v>
      </c>
    </row>
    <row r="114" spans="3:4" x14ac:dyDescent="0.35">
      <c r="C114" s="27">
        <v>46035</v>
      </c>
      <c r="D114" s="46">
        <v>3717.09</v>
      </c>
    </row>
    <row r="115" spans="3:4" x14ac:dyDescent="0.35">
      <c r="C115" s="27">
        <v>46036</v>
      </c>
      <c r="D115" s="46">
        <v>3663.24</v>
      </c>
    </row>
    <row r="116" spans="3:4" x14ac:dyDescent="0.35">
      <c r="C116" s="27">
        <v>46037</v>
      </c>
      <c r="D116" s="46">
        <v>3655.16</v>
      </c>
    </row>
    <row r="117" spans="3:4" x14ac:dyDescent="0.35">
      <c r="C117" s="27">
        <v>46038</v>
      </c>
      <c r="D117" s="46">
        <v>3687.32</v>
      </c>
    </row>
    <row r="118" spans="3:4" x14ac:dyDescent="0.35">
      <c r="C118" s="27">
        <v>46039</v>
      </c>
      <c r="D118" s="46">
        <v>3700.05</v>
      </c>
    </row>
    <row r="119" spans="3:4" x14ac:dyDescent="0.35">
      <c r="C119" s="27">
        <v>46040</v>
      </c>
      <c r="D119" s="46">
        <v>3700.05</v>
      </c>
    </row>
    <row r="120" spans="3:4" x14ac:dyDescent="0.35">
      <c r="C120" s="27">
        <v>46041</v>
      </c>
      <c r="D120" s="46">
        <v>3700.05</v>
      </c>
    </row>
    <row r="121" spans="3:4" x14ac:dyDescent="0.35">
      <c r="C121" s="27">
        <v>46042</v>
      </c>
      <c r="D121" s="46">
        <v>3700.05</v>
      </c>
    </row>
    <row r="122" spans="3:4" x14ac:dyDescent="0.35">
      <c r="C122" s="27">
        <v>46043</v>
      </c>
      <c r="D122" s="46">
        <v>3682.97</v>
      </c>
    </row>
    <row r="123" spans="3:4" x14ac:dyDescent="0.35">
      <c r="C123" s="27">
        <v>46044</v>
      </c>
      <c r="D123" s="46">
        <v>3669.15</v>
      </c>
    </row>
    <row r="124" spans="3:4" x14ac:dyDescent="0.35">
      <c r="C124" s="27">
        <v>46045</v>
      </c>
      <c r="D124" s="46">
        <v>3630.33</v>
      </c>
    </row>
    <row r="125" spans="3:4" x14ac:dyDescent="0.35">
      <c r="C125" s="27">
        <v>46046</v>
      </c>
      <c r="D125" s="46">
        <v>3637.88</v>
      </c>
    </row>
    <row r="126" spans="3:4" x14ac:dyDescent="0.35">
      <c r="C126" s="27">
        <v>46047</v>
      </c>
      <c r="D126" s="46">
        <v>3637.88</v>
      </c>
    </row>
    <row r="127" spans="3:4" x14ac:dyDescent="0.35">
      <c r="C127" s="27">
        <v>46048</v>
      </c>
      <c r="D127" s="46">
        <v>3637.88</v>
      </c>
    </row>
    <row r="128" spans="3:4" x14ac:dyDescent="0.35">
      <c r="C128" s="27">
        <v>46049</v>
      </c>
      <c r="D128" s="46">
        <v>3676.02</v>
      </c>
    </row>
    <row r="129" spans="3:4" x14ac:dyDescent="0.35">
      <c r="C129" s="27">
        <v>46050</v>
      </c>
      <c r="D129" s="46">
        <v>3678.59</v>
      </c>
    </row>
    <row r="130" spans="3:4" x14ac:dyDescent="0.35">
      <c r="C130" s="27">
        <v>46051</v>
      </c>
      <c r="D130" s="46">
        <v>3665.97</v>
      </c>
    </row>
    <row r="131" spans="3:4" x14ac:dyDescent="0.35">
      <c r="C131" s="27">
        <v>46052</v>
      </c>
      <c r="D131" s="46">
        <v>3661.29</v>
      </c>
    </row>
    <row r="132" spans="3:4" x14ac:dyDescent="0.35">
      <c r="C132" s="27">
        <v>46053</v>
      </c>
      <c r="D132" s="46">
        <v>3670.47</v>
      </c>
    </row>
    <row r="133" spans="3:4" x14ac:dyDescent="0.35">
      <c r="C133" s="28" t="s">
        <v>214</v>
      </c>
      <c r="D133" s="47">
        <f>AVERAGE(D102:D132)</f>
        <v>3702.9990322580647</v>
      </c>
    </row>
  </sheetData>
  <autoFilter ref="C3:K99" xr:uid="{00000000-0009-0000-0000-000001000000}">
    <sortState xmlns:xlrd2="http://schemas.microsoft.com/office/spreadsheetml/2017/richdata2" ref="C4:K99">
      <sortCondition ref="K3"/>
    </sortState>
  </autoFilter>
  <mergeCells count="2">
    <mergeCell ref="C101:D101"/>
    <mergeCell ref="C2:K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3:M47"/>
  <sheetViews>
    <sheetView topLeftCell="A14" zoomScale="85" zoomScaleNormal="85" workbookViewId="0">
      <selection activeCell="G21" sqref="G21"/>
    </sheetView>
  </sheetViews>
  <sheetFormatPr baseColWidth="10" defaultColWidth="10.7265625" defaultRowHeight="14.5" x14ac:dyDescent="0.35"/>
  <cols>
    <col min="3" max="3" width="83" customWidth="1"/>
    <col min="4" max="4" width="36.453125" bestFit="1" customWidth="1"/>
    <col min="5" max="5" width="15.36328125" bestFit="1" customWidth="1"/>
    <col min="6" max="6" width="9.81640625" customWidth="1"/>
    <col min="7" max="7" width="30.1796875" bestFit="1" customWidth="1"/>
    <col min="8" max="8" width="36.453125" bestFit="1" customWidth="1"/>
    <col min="9" max="9" width="15.36328125" bestFit="1" customWidth="1"/>
    <col min="10" max="22" width="9.81640625" customWidth="1"/>
    <col min="23" max="38" width="11.453125" customWidth="1"/>
    <col min="39" max="50" width="11.453125" bestFit="1" customWidth="1"/>
    <col min="51" max="73" width="11.453125" customWidth="1"/>
    <col min="74" max="81" width="12.453125" customWidth="1"/>
    <col min="82" max="88" width="12.453125" bestFit="1" customWidth="1"/>
    <col min="89" max="96" width="12.453125" customWidth="1"/>
    <col min="97" max="101" width="13.453125" bestFit="1" customWidth="1"/>
    <col min="102" max="102" width="13.7265625" bestFit="1" customWidth="1"/>
  </cols>
  <sheetData>
    <row r="3" spans="3:13" ht="29" x14ac:dyDescent="0.35">
      <c r="C3" s="1" t="s">
        <v>421</v>
      </c>
      <c r="D3" s="54">
        <v>7427.69</v>
      </c>
      <c r="G3" s="2"/>
    </row>
    <row r="4" spans="3:13" ht="29" x14ac:dyDescent="0.35">
      <c r="C4" s="1" t="s">
        <v>422</v>
      </c>
      <c r="D4" s="54">
        <v>8060.35</v>
      </c>
      <c r="G4" s="3"/>
    </row>
    <row r="5" spans="3:13" x14ac:dyDescent="0.35">
      <c r="C5" s="4" t="s">
        <v>423</v>
      </c>
      <c r="D5" s="5">
        <v>50.599999999999994</v>
      </c>
      <c r="G5" s="3"/>
    </row>
    <row r="6" spans="3:13" x14ac:dyDescent="0.35">
      <c r="C6" s="4" t="s">
        <v>424</v>
      </c>
      <c r="D6" s="6">
        <f>+'COSTOS Y GASTOS FEBRERO 2026'!E139</f>
        <v>3675.6414285714282</v>
      </c>
    </row>
    <row r="8" spans="3:13" x14ac:dyDescent="0.35">
      <c r="C8" s="163" t="s">
        <v>425</v>
      </c>
      <c r="D8" s="163"/>
      <c r="E8" s="163"/>
      <c r="G8" s="163" t="s">
        <v>426</v>
      </c>
      <c r="H8" s="163"/>
      <c r="I8" s="163"/>
    </row>
    <row r="9" spans="3:13" x14ac:dyDescent="0.35">
      <c r="C9" s="164" t="s">
        <v>0</v>
      </c>
      <c r="D9" s="164" t="s">
        <v>1</v>
      </c>
      <c r="E9" s="166" t="s">
        <v>2</v>
      </c>
      <c r="G9" s="164" t="s">
        <v>0</v>
      </c>
      <c r="H9" s="164" t="s">
        <v>1</v>
      </c>
      <c r="I9" s="166" t="s">
        <v>2</v>
      </c>
    </row>
    <row r="10" spans="3:13" x14ac:dyDescent="0.35">
      <c r="C10" s="164"/>
      <c r="D10" s="165"/>
      <c r="E10" s="167"/>
      <c r="G10" s="164"/>
      <c r="H10" s="165"/>
      <c r="I10" s="167"/>
    </row>
    <row r="11" spans="3:13" x14ac:dyDescent="0.35">
      <c r="C11" s="8" t="s">
        <v>3</v>
      </c>
      <c r="D11" s="9"/>
      <c r="E11" s="10">
        <f>+SUM(D3:D4)*D5*D6</f>
        <v>2880581162.4513936</v>
      </c>
      <c r="G11" s="8" t="s">
        <v>3</v>
      </c>
      <c r="H11" s="9"/>
      <c r="I11" s="10">
        <f>+SUM(D3:D4)*D5*D6</f>
        <v>2880581162.4513936</v>
      </c>
    </row>
    <row r="12" spans="3:13" x14ac:dyDescent="0.35">
      <c r="C12" s="8" t="s">
        <v>4</v>
      </c>
      <c r="D12" s="9">
        <f>+E12/E11</f>
        <v>0.47957585336814729</v>
      </c>
      <c r="E12" s="10">
        <f>+D3*D5*D6</f>
        <v>1381457169.1788368</v>
      </c>
      <c r="G12" s="8" t="s">
        <v>5</v>
      </c>
      <c r="H12" s="11">
        <f>+I12/I11</f>
        <v>0.52042414663185266</v>
      </c>
      <c r="I12" s="10">
        <f>+D4*D5*D6</f>
        <v>1499123993.2725568</v>
      </c>
    </row>
    <row r="13" spans="3:13" x14ac:dyDescent="0.35">
      <c r="C13" s="8" t="s">
        <v>6</v>
      </c>
      <c r="D13" s="9">
        <f>+E13/$E$11</f>
        <v>0.29907824229808044</v>
      </c>
      <c r="E13" s="10">
        <f>+SUM('COSTOS Y GASTOS FEBRERO 2026'!I4:I87)*D12</f>
        <v>861519150.8629241</v>
      </c>
      <c r="G13" s="8" t="s">
        <v>6</v>
      </c>
      <c r="H13" s="11">
        <f>+I13/$I$11</f>
        <v>0.32455249348146364</v>
      </c>
      <c r="I13" s="10">
        <f>+SUM('COSTOS Y GASTOS FEBRERO 2026'!I4:I87)*H12</f>
        <v>934899798.94933283</v>
      </c>
      <c r="M13" t="s">
        <v>20</v>
      </c>
    </row>
    <row r="14" spans="3:13" x14ac:dyDescent="0.35">
      <c r="C14" s="8" t="s">
        <v>8</v>
      </c>
      <c r="D14" s="9">
        <f>+E14/$E$11</f>
        <v>1.3569865649190606E-2</v>
      </c>
      <c r="E14" s="10">
        <f>+SUM('COSTOS Y GASTOS FEBRERO 2026'!I88:I106)*D12</f>
        <v>39089099.366054714</v>
      </c>
      <c r="G14" s="8" t="s">
        <v>8</v>
      </c>
      <c r="H14" s="11">
        <f>+I14/$I$11</f>
        <v>1.4725690838666327E-2</v>
      </c>
      <c r="I14" s="10">
        <f>+SUM('COSTOS Y GASTOS FEBRERO 2026'!I88:I106)*H12</f>
        <v>42418547.633945286</v>
      </c>
    </row>
    <row r="15" spans="3:13" x14ac:dyDescent="0.35">
      <c r="C15" s="8" t="s">
        <v>9</v>
      </c>
      <c r="D15" s="9">
        <f t="shared" ref="D15:D17" si="0">+E15/$E$11</f>
        <v>0.16692774542087624</v>
      </c>
      <c r="E15" s="10">
        <f>+E12-E13-E14</f>
        <v>480848918.94985801</v>
      </c>
      <c r="G15" s="8" t="s">
        <v>9</v>
      </c>
      <c r="H15" s="11">
        <f t="shared" ref="H15:H17" si="1">+I15/$I$11</f>
        <v>0.18114596231172275</v>
      </c>
      <c r="I15" s="10">
        <f>+I12-I13-I14</f>
        <v>521805646.68927866</v>
      </c>
    </row>
    <row r="16" spans="3:13" x14ac:dyDescent="0.35">
      <c r="C16" s="90" t="s">
        <v>10</v>
      </c>
      <c r="D16" s="91">
        <f t="shared" si="0"/>
        <v>3.8366068269451784E-2</v>
      </c>
      <c r="E16" s="92">
        <f>+E12*8%</f>
        <v>110516573.53430694</v>
      </c>
      <c r="G16" s="8" t="s">
        <v>10</v>
      </c>
      <c r="H16" s="11">
        <f t="shared" si="1"/>
        <v>4.1633931730548218E-2</v>
      </c>
      <c r="I16" s="10">
        <f>+I12*8%</f>
        <v>119929919.46180454</v>
      </c>
    </row>
    <row r="17" spans="3:9" x14ac:dyDescent="0.35">
      <c r="C17" s="93" t="s">
        <v>7</v>
      </c>
      <c r="D17" s="9">
        <f t="shared" si="0"/>
        <v>0.12856167715142447</v>
      </c>
      <c r="E17" s="13">
        <f>+E15-E16</f>
        <v>370332345.41555107</v>
      </c>
      <c r="G17" s="8" t="s">
        <v>7</v>
      </c>
      <c r="H17" s="11">
        <f t="shared" si="1"/>
        <v>0.13951203058117453</v>
      </c>
      <c r="I17" s="10">
        <f>+I15-I16</f>
        <v>401875727.22747409</v>
      </c>
    </row>
    <row r="18" spans="3:9" x14ac:dyDescent="0.35">
      <c r="C18" s="55"/>
      <c r="D18" s="56"/>
      <c r="E18" s="57"/>
      <c r="G18" s="55"/>
      <c r="H18" s="58"/>
      <c r="I18" s="57"/>
    </row>
    <row r="19" spans="3:9" x14ac:dyDescent="0.35">
      <c r="C19" s="163" t="s">
        <v>11</v>
      </c>
      <c r="D19" s="163"/>
      <c r="G19" s="163" t="s">
        <v>455</v>
      </c>
      <c r="H19" s="163"/>
    </row>
    <row r="20" spans="3:9" x14ac:dyDescent="0.35">
      <c r="C20" s="7" t="s">
        <v>0</v>
      </c>
      <c r="D20" s="7" t="s">
        <v>12</v>
      </c>
      <c r="G20" s="7" t="s">
        <v>0</v>
      </c>
      <c r="H20" s="7" t="s">
        <v>12</v>
      </c>
    </row>
    <row r="21" spans="3:9" x14ac:dyDescent="0.35">
      <c r="C21" s="12" t="s">
        <v>13</v>
      </c>
      <c r="D21" s="13">
        <f>+E17</f>
        <v>370332345.41555107</v>
      </c>
      <c r="G21" s="12" t="s">
        <v>13</v>
      </c>
      <c r="H21" s="13">
        <f>I17</f>
        <v>401875727.22747409</v>
      </c>
    </row>
    <row r="22" spans="3:9" x14ac:dyDescent="0.35">
      <c r="C22" s="12" t="s">
        <v>14</v>
      </c>
      <c r="D22" s="14">
        <v>0.3</v>
      </c>
      <c r="G22" s="12" t="s">
        <v>15</v>
      </c>
      <c r="H22" s="14">
        <v>0.3</v>
      </c>
    </row>
    <row r="23" spans="3:9" ht="15.5" x14ac:dyDescent="0.35">
      <c r="C23" s="12" t="s">
        <v>17</v>
      </c>
      <c r="D23" s="15">
        <f>+D21*D22</f>
        <v>111099703.62466532</v>
      </c>
      <c r="G23" s="12" t="s">
        <v>16</v>
      </c>
      <c r="H23" s="15">
        <f>+(H21*H22)</f>
        <v>120562718.16824223</v>
      </c>
    </row>
    <row r="24" spans="3:9" x14ac:dyDescent="0.35">
      <c r="C24" s="12" t="s">
        <v>18</v>
      </c>
      <c r="D24" s="13">
        <f>+'BALANCE ENERO 2026'!D28</f>
        <v>11418319074.172348</v>
      </c>
      <c r="H24" s="16"/>
    </row>
    <row r="25" spans="3:9" x14ac:dyDescent="0.35">
      <c r="C25" s="12" t="s">
        <v>19</v>
      </c>
      <c r="D25" s="13">
        <f>+D24-D23</f>
        <v>11307219370.547682</v>
      </c>
      <c r="G25" s="3"/>
    </row>
    <row r="27" spans="3:9" x14ac:dyDescent="0.35">
      <c r="G27" s="17"/>
      <c r="H27" s="17"/>
    </row>
    <row r="28" spans="3:9" x14ac:dyDescent="0.35">
      <c r="G28" s="17"/>
      <c r="H28" s="17"/>
    </row>
    <row r="29" spans="3:9" x14ac:dyDescent="0.35">
      <c r="C29" s="52" t="s">
        <v>258</v>
      </c>
      <c r="D29" s="7" t="s">
        <v>21</v>
      </c>
      <c r="E29" s="52" t="s">
        <v>22</v>
      </c>
    </row>
    <row r="30" spans="3:9" x14ac:dyDescent="0.35">
      <c r="C30" s="19" t="s">
        <v>273</v>
      </c>
      <c r="D30" s="13">
        <v>611655009</v>
      </c>
      <c r="E30" s="20">
        <v>0.32570762352387583</v>
      </c>
    </row>
    <row r="31" spans="3:9" x14ac:dyDescent="0.35">
      <c r="C31" s="19" t="s">
        <v>28</v>
      </c>
      <c r="D31" s="13">
        <v>257412993</v>
      </c>
      <c r="E31" s="20">
        <v>0.13707297901683346</v>
      </c>
    </row>
    <row r="32" spans="3:9" x14ac:dyDescent="0.35">
      <c r="C32" s="19" t="s">
        <v>25</v>
      </c>
      <c r="D32" s="13">
        <v>215331543</v>
      </c>
      <c r="E32" s="20">
        <v>0.11466451530401721</v>
      </c>
    </row>
    <row r="33" spans="3:5" x14ac:dyDescent="0.35">
      <c r="C33" s="19" t="s">
        <v>448</v>
      </c>
      <c r="D33" s="13">
        <v>210000000</v>
      </c>
      <c r="E33" s="20">
        <v>0.11182545705272549</v>
      </c>
    </row>
    <row r="34" spans="3:5" x14ac:dyDescent="0.35">
      <c r="C34" s="19" t="s">
        <v>24</v>
      </c>
      <c r="D34" s="13">
        <v>153600000</v>
      </c>
      <c r="E34" s="20">
        <v>8.1792334301422076E-2</v>
      </c>
    </row>
    <row r="35" spans="3:5" x14ac:dyDescent="0.35">
      <c r="C35" s="19" t="s">
        <v>329</v>
      </c>
      <c r="D35" s="13">
        <v>111868622</v>
      </c>
      <c r="E35" s="20">
        <v>5.9570284690517061E-2</v>
      </c>
    </row>
    <row r="36" spans="3:5" x14ac:dyDescent="0.35">
      <c r="C36" s="19" t="s">
        <v>211</v>
      </c>
      <c r="D36" s="13">
        <v>84000000</v>
      </c>
      <c r="E36" s="20">
        <v>4.4730182821090196E-2</v>
      </c>
    </row>
    <row r="37" spans="3:5" x14ac:dyDescent="0.35">
      <c r="C37" s="19" t="s">
        <v>31</v>
      </c>
      <c r="D37" s="13">
        <v>50105611</v>
      </c>
      <c r="E37" s="20">
        <v>2.6681346909433669E-2</v>
      </c>
    </row>
    <row r="38" spans="3:5" x14ac:dyDescent="0.35">
      <c r="C38" s="19" t="s">
        <v>415</v>
      </c>
      <c r="D38" s="13">
        <v>50000000</v>
      </c>
      <c r="E38" s="20">
        <v>2.6625108822077498E-2</v>
      </c>
    </row>
    <row r="39" spans="3:5" x14ac:dyDescent="0.35">
      <c r="C39" s="19" t="s">
        <v>30</v>
      </c>
      <c r="D39" s="13">
        <v>31419716</v>
      </c>
      <c r="E39" s="20">
        <v>1.6731067153175391E-2</v>
      </c>
    </row>
    <row r="40" spans="3:5" x14ac:dyDescent="0.35">
      <c r="C40" s="19" t="s">
        <v>26</v>
      </c>
      <c r="D40" s="13">
        <v>22627930</v>
      </c>
      <c r="E40" s="20">
        <v>1.2049421973367043E-2</v>
      </c>
    </row>
    <row r="41" spans="3:5" x14ac:dyDescent="0.35">
      <c r="C41" s="19" t="s">
        <v>85</v>
      </c>
      <c r="D41" s="13">
        <v>17044019</v>
      </c>
      <c r="E41" s="20">
        <v>9.0759772128111305E-3</v>
      </c>
    </row>
    <row r="42" spans="3:5" x14ac:dyDescent="0.35">
      <c r="C42" s="19" t="s">
        <v>284</v>
      </c>
      <c r="D42" s="13">
        <v>15691415</v>
      </c>
      <c r="E42" s="20">
        <v>8.3557126389475836E-3</v>
      </c>
    </row>
    <row r="43" spans="3:5" x14ac:dyDescent="0.35">
      <c r="C43" s="19" t="s">
        <v>126</v>
      </c>
      <c r="D43" s="13">
        <v>15265018</v>
      </c>
      <c r="E43" s="20">
        <v>8.1286553084194361E-3</v>
      </c>
    </row>
    <row r="44" spans="3:5" x14ac:dyDescent="0.35">
      <c r="C44" s="19" t="s">
        <v>34</v>
      </c>
      <c r="D44" s="13">
        <v>14402905.812256968</v>
      </c>
      <c r="E44" s="20">
        <v>7.6695786921094859E-3</v>
      </c>
    </row>
    <row r="45" spans="3:5" x14ac:dyDescent="0.35">
      <c r="C45" s="19" t="s">
        <v>29</v>
      </c>
      <c r="D45" s="13">
        <v>14119344</v>
      </c>
      <c r="E45" s="20">
        <v>7.5185814099269404E-3</v>
      </c>
    </row>
    <row r="46" spans="3:5" x14ac:dyDescent="0.35">
      <c r="C46" s="19" t="s">
        <v>327</v>
      </c>
      <c r="D46" s="13">
        <v>3382471</v>
      </c>
      <c r="E46" s="20">
        <v>1.8011731692504261E-3</v>
      </c>
    </row>
    <row r="47" spans="3:5" x14ac:dyDescent="0.35">
      <c r="C47" s="95" t="s">
        <v>36</v>
      </c>
      <c r="D47" s="97">
        <v>1877926596.8122571</v>
      </c>
      <c r="E47" s="96">
        <v>1</v>
      </c>
    </row>
  </sheetData>
  <autoFilter ref="C29:E53" xr:uid="{00000000-0009-0000-0000-000002000000}"/>
  <mergeCells count="10">
    <mergeCell ref="C19:D19"/>
    <mergeCell ref="G19:H19"/>
    <mergeCell ref="C8:E8"/>
    <mergeCell ref="G8:I8"/>
    <mergeCell ref="C9:C10"/>
    <mergeCell ref="D9:D10"/>
    <mergeCell ref="E9:E10"/>
    <mergeCell ref="G9:G10"/>
    <mergeCell ref="H9:H10"/>
    <mergeCell ref="I9:I10"/>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1:M1001"/>
  <sheetViews>
    <sheetView topLeftCell="A2" zoomScale="85" zoomScaleNormal="85" workbookViewId="0">
      <selection activeCell="I6" sqref="I6:I106"/>
    </sheetView>
  </sheetViews>
  <sheetFormatPr baseColWidth="10" defaultColWidth="14.453125" defaultRowHeight="14.5" x14ac:dyDescent="0.35"/>
  <cols>
    <col min="1" max="1" width="11.54296875" customWidth="1"/>
    <col min="2" max="2" width="20.54296875" customWidth="1"/>
    <col min="3" max="3" width="8.1796875" customWidth="1"/>
    <col min="4" max="4" width="29" bestFit="1" customWidth="1"/>
    <col min="5" max="5" width="26" bestFit="1" customWidth="1"/>
    <col min="6" max="6" width="29.54296875" bestFit="1" customWidth="1"/>
    <col min="7" max="7" width="17.26953125" customWidth="1"/>
    <col min="8" max="8" width="21.1796875" bestFit="1" customWidth="1"/>
    <col min="9" max="9" width="15.54296875" bestFit="1" customWidth="1"/>
    <col min="10" max="10" width="15.453125" bestFit="1" customWidth="1"/>
    <col min="11" max="11" width="18.1796875" bestFit="1" customWidth="1"/>
    <col min="12" max="26" width="10.7265625" customWidth="1"/>
  </cols>
  <sheetData>
    <row r="1" spans="4:13" ht="14.25" hidden="1" customHeight="1" x14ac:dyDescent="0.35">
      <c r="M1" s="59"/>
    </row>
    <row r="2" spans="4:13" ht="14.25" customHeight="1" thickBot="1" x14ac:dyDescent="0.4">
      <c r="M2" s="59"/>
    </row>
    <row r="3" spans="4:13" ht="42.5" thickBot="1" x14ac:dyDescent="0.4">
      <c r="D3" s="29" t="s">
        <v>256</v>
      </c>
      <c r="E3" s="30" t="s">
        <v>257</v>
      </c>
      <c r="F3" s="29" t="s">
        <v>258</v>
      </c>
      <c r="G3" s="30" t="s">
        <v>259</v>
      </c>
      <c r="H3" s="30" t="s">
        <v>260</v>
      </c>
      <c r="I3" s="29" t="s">
        <v>261</v>
      </c>
      <c r="J3" s="30" t="s">
        <v>262</v>
      </c>
      <c r="K3" s="30" t="s">
        <v>263</v>
      </c>
      <c r="L3" s="30" t="s">
        <v>255</v>
      </c>
      <c r="M3" s="59"/>
    </row>
    <row r="4" spans="4:13" ht="29.5" thickBot="1" x14ac:dyDescent="0.4">
      <c r="D4" s="60" t="s">
        <v>269</v>
      </c>
      <c r="E4" s="61" t="s">
        <v>74</v>
      </c>
      <c r="F4" s="61" t="s">
        <v>30</v>
      </c>
      <c r="G4" s="62">
        <v>46049</v>
      </c>
      <c r="H4" s="61" t="s">
        <v>270</v>
      </c>
      <c r="I4" s="63">
        <v>2023488</v>
      </c>
      <c r="J4" s="64" t="s">
        <v>45</v>
      </c>
      <c r="K4" s="62">
        <v>46056</v>
      </c>
      <c r="L4" s="42" t="s">
        <v>266</v>
      </c>
      <c r="M4" s="59"/>
    </row>
    <row r="5" spans="4:13" ht="44" thickBot="1" x14ac:dyDescent="0.4">
      <c r="D5" s="65" t="s">
        <v>271</v>
      </c>
      <c r="E5" s="66" t="s">
        <v>84</v>
      </c>
      <c r="F5" s="66" t="s">
        <v>28</v>
      </c>
      <c r="G5" s="67">
        <v>46002</v>
      </c>
      <c r="H5" s="66" t="s">
        <v>451</v>
      </c>
      <c r="I5" s="68">
        <v>9486075</v>
      </c>
      <c r="J5" s="64" t="s">
        <v>45</v>
      </c>
      <c r="K5" s="67">
        <v>46056</v>
      </c>
      <c r="L5" s="42" t="s">
        <v>266</v>
      </c>
      <c r="M5" s="59"/>
    </row>
    <row r="6" spans="4:13" ht="59.25" customHeight="1" thickBot="1" x14ac:dyDescent="0.4">
      <c r="D6" s="60" t="s">
        <v>427</v>
      </c>
      <c r="E6" s="69" t="s">
        <v>272</v>
      </c>
      <c r="F6" s="61" t="s">
        <v>273</v>
      </c>
      <c r="G6" s="62">
        <v>46051</v>
      </c>
      <c r="H6" s="61" t="s">
        <v>274</v>
      </c>
      <c r="I6" s="70">
        <v>928200</v>
      </c>
      <c r="J6" s="64" t="s">
        <v>45</v>
      </c>
      <c r="K6" s="62">
        <v>46056</v>
      </c>
      <c r="L6" s="42" t="s">
        <v>266</v>
      </c>
      <c r="M6" s="59"/>
    </row>
    <row r="7" spans="4:13" ht="409.5" customHeight="1" thickBot="1" x14ac:dyDescent="0.4">
      <c r="D7" s="71" t="s">
        <v>148</v>
      </c>
      <c r="E7" s="72"/>
      <c r="F7" s="73" t="s">
        <v>25</v>
      </c>
      <c r="G7" s="67">
        <v>45981</v>
      </c>
      <c r="H7" s="66" t="s">
        <v>275</v>
      </c>
      <c r="I7" s="68">
        <v>29987143</v>
      </c>
      <c r="J7" s="64" t="s">
        <v>45</v>
      </c>
      <c r="K7" s="67">
        <v>46056</v>
      </c>
      <c r="L7" s="42" t="s">
        <v>266</v>
      </c>
      <c r="M7" s="59"/>
    </row>
    <row r="8" spans="4:13" ht="60" customHeight="1" thickBot="1" x14ac:dyDescent="0.4">
      <c r="D8" s="65" t="s">
        <v>89</v>
      </c>
      <c r="E8" s="94" t="s">
        <v>278</v>
      </c>
      <c r="F8" s="66" t="s">
        <v>25</v>
      </c>
      <c r="G8" s="67">
        <v>46019</v>
      </c>
      <c r="H8" s="66" t="s">
        <v>279</v>
      </c>
      <c r="I8" s="68">
        <v>9591400</v>
      </c>
      <c r="J8" s="64" t="s">
        <v>45</v>
      </c>
      <c r="K8" s="67">
        <v>46056</v>
      </c>
      <c r="L8" s="42" t="s">
        <v>266</v>
      </c>
      <c r="M8" s="59"/>
    </row>
    <row r="9" spans="4:13" ht="60" customHeight="1" thickBot="1" x14ac:dyDescent="0.4">
      <c r="D9" s="60" t="s">
        <v>280</v>
      </c>
      <c r="E9" s="61" t="s">
        <v>74</v>
      </c>
      <c r="F9" s="61" t="s">
        <v>30</v>
      </c>
      <c r="G9" s="62">
        <v>46049</v>
      </c>
      <c r="H9" s="61" t="s">
        <v>281</v>
      </c>
      <c r="I9" s="70">
        <v>9157692</v>
      </c>
      <c r="J9" s="64" t="s">
        <v>45</v>
      </c>
      <c r="K9" s="62">
        <v>46056</v>
      </c>
      <c r="L9" s="42" t="s">
        <v>266</v>
      </c>
      <c r="M9" s="59"/>
    </row>
    <row r="10" spans="4:13" ht="60" customHeight="1" thickBot="1" x14ac:dyDescent="0.4">
      <c r="D10" s="65" t="s">
        <v>135</v>
      </c>
      <c r="E10" s="66" t="s">
        <v>272</v>
      </c>
      <c r="F10" s="66" t="s">
        <v>273</v>
      </c>
      <c r="G10" s="67">
        <v>46055</v>
      </c>
      <c r="H10" s="66" t="s">
        <v>282</v>
      </c>
      <c r="I10" s="68">
        <v>577150</v>
      </c>
      <c r="J10" s="64" t="s">
        <v>45</v>
      </c>
      <c r="K10" s="67">
        <v>46056</v>
      </c>
      <c r="L10" s="42" t="s">
        <v>266</v>
      </c>
      <c r="M10" s="59"/>
    </row>
    <row r="11" spans="4:13" ht="60" customHeight="1" thickBot="1" x14ac:dyDescent="0.4">
      <c r="D11" s="60" t="s">
        <v>71</v>
      </c>
      <c r="E11" s="61" t="s">
        <v>272</v>
      </c>
      <c r="F11" s="61" t="s">
        <v>273</v>
      </c>
      <c r="G11" s="62">
        <v>46048</v>
      </c>
      <c r="H11" s="61" t="s">
        <v>283</v>
      </c>
      <c r="I11" s="70">
        <v>1350000</v>
      </c>
      <c r="J11" s="64" t="s">
        <v>45</v>
      </c>
      <c r="K11" s="62">
        <v>46056</v>
      </c>
      <c r="L11" s="42" t="s">
        <v>266</v>
      </c>
      <c r="M11" s="59"/>
    </row>
    <row r="12" spans="4:13" ht="60" customHeight="1" thickBot="1" x14ac:dyDescent="0.4">
      <c r="D12" s="65" t="s">
        <v>428</v>
      </c>
      <c r="E12" s="66" t="s">
        <v>74</v>
      </c>
      <c r="F12" s="66" t="s">
        <v>284</v>
      </c>
      <c r="G12" s="67">
        <v>46050</v>
      </c>
      <c r="H12" s="66" t="s">
        <v>285</v>
      </c>
      <c r="I12" s="68">
        <v>6849500</v>
      </c>
      <c r="J12" s="64" t="s">
        <v>45</v>
      </c>
      <c r="K12" s="67">
        <v>46056</v>
      </c>
      <c r="L12" s="42" t="s">
        <v>266</v>
      </c>
      <c r="M12" s="59"/>
    </row>
    <row r="13" spans="4:13" ht="60" customHeight="1" thickBot="1" x14ac:dyDescent="0.4">
      <c r="D13" s="60" t="s">
        <v>286</v>
      </c>
      <c r="E13" s="61" t="s">
        <v>287</v>
      </c>
      <c r="F13" s="61" t="s">
        <v>29</v>
      </c>
      <c r="G13" s="62">
        <v>46010</v>
      </c>
      <c r="H13" s="61" t="s">
        <v>288</v>
      </c>
      <c r="I13" s="70">
        <v>14119344</v>
      </c>
      <c r="J13" s="64" t="s">
        <v>45</v>
      </c>
      <c r="K13" s="62">
        <v>46057</v>
      </c>
      <c r="L13" s="42" t="s">
        <v>266</v>
      </c>
      <c r="M13" s="59"/>
    </row>
    <row r="14" spans="4:13" ht="44" thickBot="1" x14ac:dyDescent="0.4">
      <c r="D14" s="65" t="s">
        <v>68</v>
      </c>
      <c r="E14" s="66" t="s">
        <v>289</v>
      </c>
      <c r="F14" s="66" t="s">
        <v>28</v>
      </c>
      <c r="G14" s="67">
        <v>46014</v>
      </c>
      <c r="H14" s="66" t="s">
        <v>290</v>
      </c>
      <c r="I14" s="68">
        <v>1666690</v>
      </c>
      <c r="J14" s="64" t="s">
        <v>45</v>
      </c>
      <c r="K14" s="67">
        <v>46057</v>
      </c>
      <c r="L14" s="42" t="s">
        <v>266</v>
      </c>
      <c r="M14" s="59"/>
    </row>
    <row r="15" spans="4:13" ht="102" thickBot="1" x14ac:dyDescent="0.4">
      <c r="D15" s="60" t="s">
        <v>162</v>
      </c>
      <c r="E15" s="61" t="s">
        <v>291</v>
      </c>
      <c r="F15" s="61" t="s">
        <v>25</v>
      </c>
      <c r="G15" s="62">
        <v>46004</v>
      </c>
      <c r="H15" s="61" t="s">
        <v>292</v>
      </c>
      <c r="I15" s="70">
        <v>20706000</v>
      </c>
      <c r="J15" s="64" t="s">
        <v>45</v>
      </c>
      <c r="K15" s="62">
        <v>46057</v>
      </c>
      <c r="L15" s="42" t="s">
        <v>266</v>
      </c>
      <c r="M15" s="59"/>
    </row>
    <row r="16" spans="4:13" ht="44" thickBot="1" x14ac:dyDescent="0.4">
      <c r="D16" s="65" t="s">
        <v>429</v>
      </c>
      <c r="E16" s="74" t="s">
        <v>293</v>
      </c>
      <c r="F16" s="66" t="s">
        <v>28</v>
      </c>
      <c r="G16" s="67">
        <v>46006</v>
      </c>
      <c r="H16" s="66" t="s">
        <v>294</v>
      </c>
      <c r="I16" s="68">
        <v>4250000</v>
      </c>
      <c r="J16" s="64" t="s">
        <v>45</v>
      </c>
      <c r="K16" s="67">
        <v>46057</v>
      </c>
      <c r="L16" s="42" t="s">
        <v>266</v>
      </c>
      <c r="M16" s="59"/>
    </row>
    <row r="17" spans="4:13" ht="15" thickBot="1" x14ac:dyDescent="0.4">
      <c r="D17" s="65" t="s">
        <v>73</v>
      </c>
      <c r="E17" s="74" t="s">
        <v>74</v>
      </c>
      <c r="F17" s="66" t="s">
        <v>284</v>
      </c>
      <c r="G17" s="67">
        <v>46014</v>
      </c>
      <c r="H17" s="66" t="s">
        <v>302</v>
      </c>
      <c r="I17" s="68">
        <v>1512500</v>
      </c>
      <c r="J17" s="64" t="s">
        <v>45</v>
      </c>
      <c r="K17" s="67">
        <v>46057</v>
      </c>
      <c r="L17" s="42" t="s">
        <v>266</v>
      </c>
      <c r="M17" s="59"/>
    </row>
    <row r="18" spans="4:13" ht="15" thickBot="1" x14ac:dyDescent="0.4">
      <c r="D18" s="60" t="s">
        <v>73</v>
      </c>
      <c r="E18" s="75" t="s">
        <v>74</v>
      </c>
      <c r="F18" s="61" t="s">
        <v>284</v>
      </c>
      <c r="G18" s="62">
        <v>46015</v>
      </c>
      <c r="H18" s="61" t="s">
        <v>303</v>
      </c>
      <c r="I18" s="70">
        <v>50000</v>
      </c>
      <c r="J18" s="64" t="s">
        <v>45</v>
      </c>
      <c r="K18" s="62">
        <v>46057</v>
      </c>
      <c r="L18" s="42" t="s">
        <v>266</v>
      </c>
      <c r="M18" s="59"/>
    </row>
    <row r="19" spans="4:13" ht="29.5" thickBot="1" x14ac:dyDescent="0.4">
      <c r="D19" s="65" t="s">
        <v>111</v>
      </c>
      <c r="E19" s="66" t="s">
        <v>304</v>
      </c>
      <c r="F19" s="66" t="s">
        <v>25</v>
      </c>
      <c r="G19" s="67">
        <v>45973</v>
      </c>
      <c r="H19" s="66" t="s">
        <v>305</v>
      </c>
      <c r="I19" s="68">
        <v>4000000</v>
      </c>
      <c r="J19" s="64" t="s">
        <v>45</v>
      </c>
      <c r="K19" s="67">
        <v>46057</v>
      </c>
      <c r="L19" s="42" t="s">
        <v>266</v>
      </c>
      <c r="M19" s="59"/>
    </row>
    <row r="20" spans="4:13" ht="29.5" thickBot="1" x14ac:dyDescent="0.4">
      <c r="D20" s="60" t="s">
        <v>111</v>
      </c>
      <c r="E20" s="61" t="s">
        <v>306</v>
      </c>
      <c r="F20" s="61" t="s">
        <v>25</v>
      </c>
      <c r="G20" s="62">
        <v>46028</v>
      </c>
      <c r="H20" s="61" t="s">
        <v>307</v>
      </c>
      <c r="I20" s="70">
        <v>3600000</v>
      </c>
      <c r="J20" s="64" t="s">
        <v>45</v>
      </c>
      <c r="K20" s="62">
        <v>46057</v>
      </c>
      <c r="L20" s="42" t="s">
        <v>266</v>
      </c>
      <c r="M20" s="59"/>
    </row>
    <row r="21" spans="4:13" ht="44" thickBot="1" x14ac:dyDescent="0.4">
      <c r="D21" s="65" t="s">
        <v>113</v>
      </c>
      <c r="E21" s="66" t="s">
        <v>114</v>
      </c>
      <c r="F21" s="66" t="s">
        <v>273</v>
      </c>
      <c r="G21" s="67">
        <v>46022</v>
      </c>
      <c r="H21" s="66" t="s">
        <v>308</v>
      </c>
      <c r="I21" s="68">
        <v>639000</v>
      </c>
      <c r="J21" s="64" t="s">
        <v>45</v>
      </c>
      <c r="K21" s="67">
        <v>46057</v>
      </c>
      <c r="L21" s="42" t="s">
        <v>266</v>
      </c>
      <c r="M21" s="59"/>
    </row>
    <row r="22" spans="4:13" ht="44" thickBot="1" x14ac:dyDescent="0.4">
      <c r="D22" s="60" t="s">
        <v>122</v>
      </c>
      <c r="E22" s="61" t="s">
        <v>123</v>
      </c>
      <c r="F22" s="61" t="s">
        <v>273</v>
      </c>
      <c r="G22" s="62">
        <v>46024</v>
      </c>
      <c r="H22" s="61" t="s">
        <v>309</v>
      </c>
      <c r="I22" s="70">
        <v>1860000</v>
      </c>
      <c r="J22" s="64" t="s">
        <v>45</v>
      </c>
      <c r="K22" s="62">
        <v>46057</v>
      </c>
      <c r="L22" s="42" t="s">
        <v>266</v>
      </c>
      <c r="M22" s="59"/>
    </row>
    <row r="23" spans="4:13" ht="44" thickBot="1" x14ac:dyDescent="0.4">
      <c r="D23" s="65" t="s">
        <v>430</v>
      </c>
      <c r="E23" s="66" t="s">
        <v>310</v>
      </c>
      <c r="F23" s="66" t="s">
        <v>28</v>
      </c>
      <c r="G23" s="67">
        <v>46002</v>
      </c>
      <c r="H23" s="66" t="s">
        <v>311</v>
      </c>
      <c r="I23" s="68">
        <v>3750000</v>
      </c>
      <c r="J23" s="64" t="s">
        <v>45</v>
      </c>
      <c r="K23" s="67">
        <v>46057</v>
      </c>
      <c r="L23" s="42" t="s">
        <v>266</v>
      </c>
      <c r="M23" s="59"/>
    </row>
    <row r="24" spans="4:13" ht="116.5" thickBot="1" x14ac:dyDescent="0.4">
      <c r="D24" s="60" t="s">
        <v>174</v>
      </c>
      <c r="E24" s="61" t="s">
        <v>312</v>
      </c>
      <c r="F24" s="61" t="s">
        <v>25</v>
      </c>
      <c r="G24" s="62">
        <v>45995</v>
      </c>
      <c r="H24" s="61" t="s">
        <v>313</v>
      </c>
      <c r="I24" s="70">
        <v>78897000</v>
      </c>
      <c r="J24" s="64" t="s">
        <v>45</v>
      </c>
      <c r="K24" s="62">
        <v>46057</v>
      </c>
      <c r="L24" s="42" t="s">
        <v>266</v>
      </c>
      <c r="M24" s="59"/>
    </row>
    <row r="25" spans="4:13" ht="44" thickBot="1" x14ac:dyDescent="0.4">
      <c r="D25" s="65" t="s">
        <v>314</v>
      </c>
      <c r="E25" s="66" t="s">
        <v>84</v>
      </c>
      <c r="F25" s="66" t="s">
        <v>28</v>
      </c>
      <c r="G25" s="67">
        <v>46001</v>
      </c>
      <c r="H25" s="66" t="s">
        <v>452</v>
      </c>
      <c r="I25" s="68">
        <v>20193994</v>
      </c>
      <c r="J25" s="64" t="s">
        <v>45</v>
      </c>
      <c r="K25" s="67">
        <v>46057</v>
      </c>
      <c r="L25" s="42" t="s">
        <v>266</v>
      </c>
      <c r="M25" s="59"/>
    </row>
    <row r="26" spans="4:13" ht="44" thickBot="1" x14ac:dyDescent="0.4">
      <c r="D26" s="60" t="s">
        <v>176</v>
      </c>
      <c r="E26" s="61" t="s">
        <v>315</v>
      </c>
      <c r="F26" s="61" t="s">
        <v>28</v>
      </c>
      <c r="G26" s="62">
        <v>46002</v>
      </c>
      <c r="H26" s="61" t="s">
        <v>316</v>
      </c>
      <c r="I26" s="70">
        <v>12178750</v>
      </c>
      <c r="J26" s="64" t="s">
        <v>45</v>
      </c>
      <c r="K26" s="62">
        <v>46057</v>
      </c>
      <c r="L26" s="42" t="s">
        <v>266</v>
      </c>
      <c r="M26" s="59"/>
    </row>
    <row r="27" spans="4:13" ht="96.75" customHeight="1" thickBot="1" x14ac:dyDescent="0.4">
      <c r="D27" s="65" t="s">
        <v>176</v>
      </c>
      <c r="E27" s="66" t="s">
        <v>315</v>
      </c>
      <c r="F27" s="66" t="s">
        <v>28</v>
      </c>
      <c r="G27" s="67">
        <v>46002</v>
      </c>
      <c r="H27" s="66" t="s">
        <v>317</v>
      </c>
      <c r="I27" s="68">
        <v>12721750</v>
      </c>
      <c r="J27" s="64" t="s">
        <v>45</v>
      </c>
      <c r="K27" s="67">
        <v>46057</v>
      </c>
      <c r="L27" s="42" t="s">
        <v>266</v>
      </c>
      <c r="M27" s="59"/>
    </row>
    <row r="28" spans="4:13" ht="96.75" customHeight="1" thickBot="1" x14ac:dyDescent="0.4">
      <c r="D28" s="60" t="s">
        <v>431</v>
      </c>
      <c r="E28" s="61" t="s">
        <v>444</v>
      </c>
      <c r="F28" s="61" t="s">
        <v>25</v>
      </c>
      <c r="G28" s="62">
        <v>46003</v>
      </c>
      <c r="H28" s="61" t="s">
        <v>318</v>
      </c>
      <c r="I28" s="70">
        <v>15000000</v>
      </c>
      <c r="J28" s="64" t="s">
        <v>45</v>
      </c>
      <c r="K28" s="62">
        <v>46057</v>
      </c>
      <c r="L28" s="42" t="s">
        <v>266</v>
      </c>
      <c r="M28" s="59"/>
    </row>
    <row r="29" spans="4:13" ht="44" thickBot="1" x14ac:dyDescent="0.4">
      <c r="D29" s="76" t="s">
        <v>77</v>
      </c>
      <c r="E29" s="61" t="s">
        <v>321</v>
      </c>
      <c r="F29" s="61" t="s">
        <v>28</v>
      </c>
      <c r="G29" s="62">
        <v>46057</v>
      </c>
      <c r="H29" s="61" t="s">
        <v>322</v>
      </c>
      <c r="I29" s="77">
        <v>12800000</v>
      </c>
      <c r="J29" s="64" t="s">
        <v>45</v>
      </c>
      <c r="K29" s="62">
        <v>46058</v>
      </c>
      <c r="L29" s="42" t="s">
        <v>266</v>
      </c>
      <c r="M29" s="59"/>
    </row>
    <row r="30" spans="4:13" ht="29.5" thickBot="1" x14ac:dyDescent="0.4">
      <c r="D30" s="65" t="s">
        <v>433</v>
      </c>
      <c r="E30" s="66" t="s">
        <v>323</v>
      </c>
      <c r="F30" s="66" t="s">
        <v>30</v>
      </c>
      <c r="G30" s="67">
        <v>46056</v>
      </c>
      <c r="H30" s="66" t="s">
        <v>324</v>
      </c>
      <c r="I30" s="68">
        <v>297500</v>
      </c>
      <c r="J30" s="64" t="s">
        <v>45</v>
      </c>
      <c r="K30" s="67">
        <v>46058</v>
      </c>
      <c r="L30" s="42" t="s">
        <v>266</v>
      </c>
      <c r="M30" s="59"/>
    </row>
    <row r="31" spans="4:13" ht="44" thickBot="1" x14ac:dyDescent="0.4">
      <c r="D31" s="60" t="s">
        <v>446</v>
      </c>
      <c r="E31" s="61" t="s">
        <v>447</v>
      </c>
      <c r="F31" s="61" t="s">
        <v>448</v>
      </c>
      <c r="G31" s="62">
        <v>46058</v>
      </c>
      <c r="H31" s="61" t="s">
        <v>450</v>
      </c>
      <c r="I31" s="70">
        <v>210000000</v>
      </c>
      <c r="J31" s="64" t="s">
        <v>45</v>
      </c>
      <c r="K31" s="62">
        <v>46059</v>
      </c>
      <c r="L31" s="42" t="s">
        <v>266</v>
      </c>
      <c r="M31" s="59"/>
    </row>
    <row r="32" spans="4:13" ht="15" thickBot="1" x14ac:dyDescent="0.4">
      <c r="D32" s="65" t="s">
        <v>328</v>
      </c>
      <c r="E32" s="66" t="s">
        <v>141</v>
      </c>
      <c r="F32" s="66" t="s">
        <v>329</v>
      </c>
      <c r="G32" s="67">
        <v>46057</v>
      </c>
      <c r="H32" s="66" t="s">
        <v>330</v>
      </c>
      <c r="I32" s="68">
        <v>111868622</v>
      </c>
      <c r="J32" s="64" t="s">
        <v>45</v>
      </c>
      <c r="K32" s="67">
        <v>46059</v>
      </c>
      <c r="L32" s="42" t="s">
        <v>266</v>
      </c>
      <c r="M32" s="59"/>
    </row>
    <row r="33" spans="4:13" ht="29.5" thickBot="1" x14ac:dyDescent="0.4">
      <c r="D33" s="60" t="s">
        <v>331</v>
      </c>
      <c r="E33" s="61" t="s">
        <v>332</v>
      </c>
      <c r="F33" s="61" t="s">
        <v>30</v>
      </c>
      <c r="G33" s="62">
        <v>46060</v>
      </c>
      <c r="H33" s="61" t="s">
        <v>333</v>
      </c>
      <c r="I33" s="70">
        <v>102000</v>
      </c>
      <c r="J33" s="64" t="s">
        <v>45</v>
      </c>
      <c r="K33" s="62">
        <v>46062</v>
      </c>
      <c r="L33" s="42" t="s">
        <v>266</v>
      </c>
      <c r="M33" s="59"/>
    </row>
    <row r="34" spans="4:13" ht="29.5" thickBot="1" x14ac:dyDescent="0.4">
      <c r="D34" s="65" t="s">
        <v>185</v>
      </c>
      <c r="E34" s="66" t="s">
        <v>74</v>
      </c>
      <c r="F34" s="66" t="s">
        <v>30</v>
      </c>
      <c r="G34" s="67">
        <v>46058</v>
      </c>
      <c r="H34" s="66" t="s">
        <v>334</v>
      </c>
      <c r="I34" s="68">
        <v>1211994</v>
      </c>
      <c r="J34" s="64" t="s">
        <v>45</v>
      </c>
      <c r="K34" s="67">
        <v>46062</v>
      </c>
      <c r="L34" s="42" t="s">
        <v>266</v>
      </c>
      <c r="M34" s="59"/>
    </row>
    <row r="35" spans="4:13" ht="29.5" thickBot="1" x14ac:dyDescent="0.4">
      <c r="D35" s="60" t="s">
        <v>87</v>
      </c>
      <c r="E35" s="61" t="s">
        <v>74</v>
      </c>
      <c r="F35" s="61" t="s">
        <v>126</v>
      </c>
      <c r="G35" s="62">
        <v>46058</v>
      </c>
      <c r="H35" s="61" t="s">
        <v>335</v>
      </c>
      <c r="I35" s="70">
        <v>3244991</v>
      </c>
      <c r="J35" s="64" t="s">
        <v>45</v>
      </c>
      <c r="K35" s="62">
        <v>46062</v>
      </c>
      <c r="L35" s="42" t="s">
        <v>266</v>
      </c>
      <c r="M35" s="59"/>
    </row>
    <row r="36" spans="4:13" ht="29.5" thickBot="1" x14ac:dyDescent="0.4">
      <c r="D36" s="65" t="s">
        <v>434</v>
      </c>
      <c r="E36" s="66" t="s">
        <v>336</v>
      </c>
      <c r="F36" s="66" t="s">
        <v>30</v>
      </c>
      <c r="G36" s="67">
        <v>46062</v>
      </c>
      <c r="H36" s="66" t="s">
        <v>337</v>
      </c>
      <c r="I36" s="68">
        <v>5961900</v>
      </c>
      <c r="J36" s="64" t="s">
        <v>45</v>
      </c>
      <c r="K36" s="67">
        <v>46062</v>
      </c>
      <c r="L36" s="42" t="s">
        <v>266</v>
      </c>
      <c r="M36" s="59"/>
    </row>
    <row r="37" spans="4:13" ht="60" customHeight="1" thickBot="1" x14ac:dyDescent="0.4">
      <c r="D37" s="60" t="s">
        <v>338</v>
      </c>
      <c r="E37" s="61" t="s">
        <v>339</v>
      </c>
      <c r="F37" s="61" t="s">
        <v>30</v>
      </c>
      <c r="G37" s="62">
        <v>46062</v>
      </c>
      <c r="H37" s="61" t="s">
        <v>340</v>
      </c>
      <c r="I37" s="70">
        <v>600950</v>
      </c>
      <c r="J37" s="64" t="s">
        <v>45</v>
      </c>
      <c r="K37" s="62">
        <v>46062</v>
      </c>
      <c r="L37" s="42" t="s">
        <v>266</v>
      </c>
      <c r="M37" s="59"/>
    </row>
    <row r="38" spans="4:13" ht="60" customHeight="1" thickBot="1" x14ac:dyDescent="0.4">
      <c r="D38" s="65" t="s">
        <v>135</v>
      </c>
      <c r="E38" s="66" t="s">
        <v>272</v>
      </c>
      <c r="F38" s="66" t="s">
        <v>273</v>
      </c>
      <c r="G38" s="67">
        <v>46048</v>
      </c>
      <c r="H38" s="66" t="s">
        <v>341</v>
      </c>
      <c r="I38" s="68">
        <v>587860</v>
      </c>
      <c r="J38" s="64" t="s">
        <v>45</v>
      </c>
      <c r="K38" s="67">
        <v>46062</v>
      </c>
      <c r="L38" s="42" t="s">
        <v>266</v>
      </c>
      <c r="M38" s="59"/>
    </row>
    <row r="39" spans="4:13" ht="60" customHeight="1" thickBot="1" x14ac:dyDescent="0.4">
      <c r="D39" s="60" t="s">
        <v>342</v>
      </c>
      <c r="E39" s="61" t="s">
        <v>74</v>
      </c>
      <c r="F39" s="61" t="s">
        <v>30</v>
      </c>
      <c r="G39" s="62">
        <v>46062</v>
      </c>
      <c r="H39" s="61" t="s">
        <v>343</v>
      </c>
      <c r="I39" s="70">
        <v>780002</v>
      </c>
      <c r="J39" s="64" t="s">
        <v>45</v>
      </c>
      <c r="K39" s="62">
        <v>46062</v>
      </c>
      <c r="L39" s="42" t="s">
        <v>266</v>
      </c>
      <c r="M39" s="59"/>
    </row>
    <row r="40" spans="4:13" ht="60" customHeight="1" thickBot="1" x14ac:dyDescent="0.4">
      <c r="D40" s="65" t="s">
        <v>435</v>
      </c>
      <c r="E40" s="66" t="s">
        <v>74</v>
      </c>
      <c r="F40" s="66" t="s">
        <v>30</v>
      </c>
      <c r="G40" s="67">
        <v>46062</v>
      </c>
      <c r="H40" s="66" t="s">
        <v>344</v>
      </c>
      <c r="I40" s="68">
        <v>202300</v>
      </c>
      <c r="J40" s="64" t="s">
        <v>45</v>
      </c>
      <c r="K40" s="67">
        <v>46062</v>
      </c>
      <c r="L40" s="42" t="s">
        <v>266</v>
      </c>
      <c r="M40" s="59"/>
    </row>
    <row r="41" spans="4:13" ht="60" customHeight="1" thickBot="1" x14ac:dyDescent="0.4">
      <c r="D41" s="60" t="s">
        <v>436</v>
      </c>
      <c r="E41" s="61" t="s">
        <v>74</v>
      </c>
      <c r="F41" s="61" t="s">
        <v>30</v>
      </c>
      <c r="G41" s="62">
        <v>46062</v>
      </c>
      <c r="H41" s="61" t="s">
        <v>345</v>
      </c>
      <c r="I41" s="70">
        <v>511700</v>
      </c>
      <c r="J41" s="64" t="s">
        <v>45</v>
      </c>
      <c r="K41" s="62">
        <v>46062</v>
      </c>
      <c r="L41" s="42" t="s">
        <v>266</v>
      </c>
      <c r="M41" s="59"/>
    </row>
    <row r="42" spans="4:13" ht="60" customHeight="1" thickBot="1" x14ac:dyDescent="0.4">
      <c r="D42" s="65" t="s">
        <v>100</v>
      </c>
      <c r="E42" s="66" t="s">
        <v>69</v>
      </c>
      <c r="F42" s="66" t="s">
        <v>28</v>
      </c>
      <c r="G42" s="67">
        <v>46014</v>
      </c>
      <c r="H42" s="66" t="s">
        <v>348</v>
      </c>
      <c r="I42" s="68">
        <v>30022966</v>
      </c>
      <c r="J42" s="64" t="s">
        <v>45</v>
      </c>
      <c r="K42" s="67">
        <v>46063</v>
      </c>
      <c r="L42" s="42" t="s">
        <v>266</v>
      </c>
      <c r="M42" s="59"/>
    </row>
    <row r="43" spans="4:13" ht="60" customHeight="1" thickBot="1" x14ac:dyDescent="0.4">
      <c r="D43" s="60" t="s">
        <v>100</v>
      </c>
      <c r="E43" s="61" t="s">
        <v>69</v>
      </c>
      <c r="F43" s="61" t="s">
        <v>28</v>
      </c>
      <c r="G43" s="62">
        <v>46014</v>
      </c>
      <c r="H43" s="61" t="s">
        <v>349</v>
      </c>
      <c r="I43" s="70">
        <v>25097368</v>
      </c>
      <c r="J43" s="64" t="s">
        <v>45</v>
      </c>
      <c r="K43" s="62">
        <v>46063</v>
      </c>
      <c r="L43" s="42" t="s">
        <v>266</v>
      </c>
      <c r="M43" s="59"/>
    </row>
    <row r="44" spans="4:13" ht="60" customHeight="1" thickBot="1" x14ac:dyDescent="0.4">
      <c r="D44" s="65" t="s">
        <v>83</v>
      </c>
      <c r="E44" s="66" t="s">
        <v>84</v>
      </c>
      <c r="F44" s="66" t="s">
        <v>28</v>
      </c>
      <c r="G44" s="67">
        <v>46059</v>
      </c>
      <c r="H44" s="66" t="s">
        <v>453</v>
      </c>
      <c r="I44" s="68">
        <v>2047319</v>
      </c>
      <c r="J44" s="64" t="s">
        <v>45</v>
      </c>
      <c r="K44" s="67">
        <v>46063</v>
      </c>
      <c r="L44" s="42" t="s">
        <v>266</v>
      </c>
      <c r="M44" s="59"/>
    </row>
    <row r="45" spans="4:13" ht="60" customHeight="1" thickBot="1" x14ac:dyDescent="0.4">
      <c r="D45" s="60" t="s">
        <v>131</v>
      </c>
      <c r="E45" s="61" t="s">
        <v>444</v>
      </c>
      <c r="F45" s="61" t="s">
        <v>24</v>
      </c>
      <c r="G45" s="62">
        <v>46013</v>
      </c>
      <c r="H45" s="61" t="s">
        <v>350</v>
      </c>
      <c r="I45" s="70">
        <v>83200000</v>
      </c>
      <c r="J45" s="64" t="s">
        <v>45</v>
      </c>
      <c r="K45" s="62">
        <v>46063</v>
      </c>
      <c r="L45" s="42" t="s">
        <v>266</v>
      </c>
      <c r="M45" s="59"/>
    </row>
    <row r="46" spans="4:13" ht="60" customHeight="1" thickBot="1" x14ac:dyDescent="0.4">
      <c r="D46" s="65" t="s">
        <v>131</v>
      </c>
      <c r="E46" s="61" t="s">
        <v>444</v>
      </c>
      <c r="F46" s="66" t="s">
        <v>24</v>
      </c>
      <c r="G46" s="67">
        <v>46030</v>
      </c>
      <c r="H46" s="66" t="s">
        <v>351</v>
      </c>
      <c r="I46" s="68">
        <v>70400000</v>
      </c>
      <c r="J46" s="64" t="s">
        <v>45</v>
      </c>
      <c r="K46" s="67">
        <v>46063</v>
      </c>
      <c r="L46" s="42" t="s">
        <v>266</v>
      </c>
      <c r="M46" s="59"/>
    </row>
    <row r="47" spans="4:13" ht="60" customHeight="1" thickBot="1" x14ac:dyDescent="0.4">
      <c r="D47" s="65" t="s">
        <v>437</v>
      </c>
      <c r="E47" s="66" t="s">
        <v>352</v>
      </c>
      <c r="F47" s="66" t="s">
        <v>28</v>
      </c>
      <c r="G47" s="67">
        <v>46058</v>
      </c>
      <c r="H47" s="66" t="s">
        <v>353</v>
      </c>
      <c r="I47" s="68">
        <v>5690000</v>
      </c>
      <c r="J47" s="64" t="s">
        <v>45</v>
      </c>
      <c r="K47" s="67">
        <v>46064</v>
      </c>
      <c r="L47" s="42" t="s">
        <v>266</v>
      </c>
      <c r="M47" s="59"/>
    </row>
    <row r="48" spans="4:13" ht="60" customHeight="1" thickBot="1" x14ac:dyDescent="0.4">
      <c r="D48" s="60" t="s">
        <v>428</v>
      </c>
      <c r="E48" s="61" t="s">
        <v>74</v>
      </c>
      <c r="F48" s="61" t="s">
        <v>284</v>
      </c>
      <c r="G48" s="62">
        <v>46063</v>
      </c>
      <c r="H48" s="61" t="s">
        <v>354</v>
      </c>
      <c r="I48" s="70">
        <v>3872500</v>
      </c>
      <c r="J48" s="64" t="s">
        <v>45</v>
      </c>
      <c r="K48" s="62">
        <v>46064</v>
      </c>
      <c r="L48" s="42" t="s">
        <v>266</v>
      </c>
      <c r="M48" s="59"/>
    </row>
    <row r="49" spans="4:13" ht="60" customHeight="1" thickBot="1" x14ac:dyDescent="0.4">
      <c r="D49" s="60" t="s">
        <v>438</v>
      </c>
      <c r="E49" s="61" t="s">
        <v>356</v>
      </c>
      <c r="F49" s="61" t="s">
        <v>28</v>
      </c>
      <c r="G49" s="62">
        <v>45966</v>
      </c>
      <c r="H49" s="61" t="s">
        <v>357</v>
      </c>
      <c r="I49" s="70">
        <v>35700000</v>
      </c>
      <c r="J49" s="64" t="s">
        <v>45</v>
      </c>
      <c r="K49" s="62">
        <v>46065</v>
      </c>
      <c r="L49" s="42" t="s">
        <v>266</v>
      </c>
      <c r="M49" s="59"/>
    </row>
    <row r="50" spans="4:13" ht="60" customHeight="1" thickBot="1" x14ac:dyDescent="0.4">
      <c r="D50" s="65" t="s">
        <v>439</v>
      </c>
      <c r="E50" s="66" t="s">
        <v>74</v>
      </c>
      <c r="F50" s="66" t="s">
        <v>126</v>
      </c>
      <c r="G50" s="67">
        <v>46063</v>
      </c>
      <c r="H50" s="66" t="s">
        <v>358</v>
      </c>
      <c r="I50" s="68">
        <v>3176637</v>
      </c>
      <c r="J50" s="64" t="s">
        <v>45</v>
      </c>
      <c r="K50" s="67">
        <v>46065</v>
      </c>
      <c r="L50" s="42" t="s">
        <v>266</v>
      </c>
      <c r="M50" s="59"/>
    </row>
    <row r="51" spans="4:13" ht="60" customHeight="1" thickBot="1" x14ac:dyDescent="0.4">
      <c r="D51" s="60" t="s">
        <v>181</v>
      </c>
      <c r="E51" s="61" t="s">
        <v>250</v>
      </c>
      <c r="F51" s="61" t="s">
        <v>28</v>
      </c>
      <c r="G51" s="62">
        <v>46048</v>
      </c>
      <c r="H51" s="61" t="s">
        <v>359</v>
      </c>
      <c r="I51" s="70">
        <v>3078500</v>
      </c>
      <c r="J51" s="64" t="s">
        <v>45</v>
      </c>
      <c r="K51" s="62">
        <v>46065</v>
      </c>
      <c r="L51" s="42" t="s">
        <v>266</v>
      </c>
      <c r="M51" s="59"/>
    </row>
    <row r="52" spans="4:13" ht="60" customHeight="1" thickBot="1" x14ac:dyDescent="0.4">
      <c r="D52" s="65" t="s">
        <v>360</v>
      </c>
      <c r="E52" s="66" t="s">
        <v>445</v>
      </c>
      <c r="F52" s="66" t="s">
        <v>28</v>
      </c>
      <c r="G52" s="67">
        <v>46059</v>
      </c>
      <c r="H52" s="66" t="s">
        <v>361</v>
      </c>
      <c r="I52" s="68">
        <v>25379725</v>
      </c>
      <c r="J52" s="64" t="s">
        <v>45</v>
      </c>
      <c r="K52" s="67">
        <v>46065</v>
      </c>
      <c r="L52" s="42" t="s">
        <v>266</v>
      </c>
      <c r="M52" s="59"/>
    </row>
    <row r="53" spans="4:13" ht="60" customHeight="1" thickBot="1" x14ac:dyDescent="0.4">
      <c r="D53" s="60" t="s">
        <v>178</v>
      </c>
      <c r="E53" s="78">
        <v>46054</v>
      </c>
      <c r="F53" s="61" t="s">
        <v>273</v>
      </c>
      <c r="G53" s="89">
        <v>46066</v>
      </c>
      <c r="H53" s="79" t="s">
        <v>216</v>
      </c>
      <c r="I53" s="70">
        <v>123382600</v>
      </c>
      <c r="J53" s="64" t="s">
        <v>45</v>
      </c>
      <c r="K53" s="62">
        <v>46067</v>
      </c>
      <c r="L53" s="42" t="s">
        <v>266</v>
      </c>
      <c r="M53" s="59"/>
    </row>
    <row r="54" spans="4:13" ht="60" customHeight="1" thickBot="1" x14ac:dyDescent="0.4">
      <c r="D54" s="60" t="s">
        <v>362</v>
      </c>
      <c r="E54" s="61" t="s">
        <v>363</v>
      </c>
      <c r="F54" s="61" t="s">
        <v>28</v>
      </c>
      <c r="G54" s="62">
        <v>46064</v>
      </c>
      <c r="H54" s="61" t="s">
        <v>364</v>
      </c>
      <c r="I54" s="70">
        <v>5000000</v>
      </c>
      <c r="J54" s="64" t="s">
        <v>45</v>
      </c>
      <c r="K54" s="62">
        <v>46067</v>
      </c>
      <c r="L54" s="42" t="s">
        <v>266</v>
      </c>
      <c r="M54" s="59"/>
    </row>
    <row r="55" spans="4:13" ht="60" customHeight="1" thickBot="1" x14ac:dyDescent="0.4">
      <c r="D55" s="65" t="s">
        <v>46</v>
      </c>
      <c r="E55" s="66" t="s">
        <v>138</v>
      </c>
      <c r="F55" s="66" t="s">
        <v>273</v>
      </c>
      <c r="G55" s="67">
        <v>46068</v>
      </c>
      <c r="H55" s="66" t="s">
        <v>365</v>
      </c>
      <c r="I55" s="68">
        <v>216522792</v>
      </c>
      <c r="J55" s="64" t="s">
        <v>45</v>
      </c>
      <c r="K55" s="67">
        <v>46068</v>
      </c>
      <c r="L55" s="42" t="s">
        <v>266</v>
      </c>
      <c r="M55" s="59"/>
    </row>
    <row r="56" spans="4:13" ht="60" customHeight="1" thickBot="1" x14ac:dyDescent="0.4">
      <c r="D56" s="65" t="s">
        <v>367</v>
      </c>
      <c r="E56" s="66" t="s">
        <v>368</v>
      </c>
      <c r="F56" s="66" t="s">
        <v>28</v>
      </c>
      <c r="G56" s="67">
        <v>46063</v>
      </c>
      <c r="H56" s="66" t="s">
        <v>369</v>
      </c>
      <c r="I56" s="68">
        <v>5000000</v>
      </c>
      <c r="J56" s="64" t="s">
        <v>45</v>
      </c>
      <c r="K56" s="67">
        <v>46070</v>
      </c>
      <c r="L56" s="42" t="s">
        <v>266</v>
      </c>
      <c r="M56" s="59"/>
    </row>
    <row r="57" spans="4:13" ht="60" customHeight="1" thickBot="1" x14ac:dyDescent="0.4">
      <c r="D57" s="60" t="s">
        <v>185</v>
      </c>
      <c r="E57" s="61" t="s">
        <v>74</v>
      </c>
      <c r="F57" s="61" t="s">
        <v>30</v>
      </c>
      <c r="G57" s="62">
        <v>46058</v>
      </c>
      <c r="H57" s="61" t="s">
        <v>370</v>
      </c>
      <c r="I57" s="70">
        <v>3522985</v>
      </c>
      <c r="J57" s="64" t="s">
        <v>45</v>
      </c>
      <c r="K57" s="62">
        <v>46070</v>
      </c>
      <c r="L57" s="42" t="s">
        <v>266</v>
      </c>
      <c r="M57" s="59"/>
    </row>
    <row r="58" spans="4:13" ht="60" customHeight="1" thickBot="1" x14ac:dyDescent="0.4">
      <c r="D58" s="65" t="s">
        <v>373</v>
      </c>
      <c r="E58" s="66" t="s">
        <v>374</v>
      </c>
      <c r="F58" s="66" t="s">
        <v>28</v>
      </c>
      <c r="G58" s="67">
        <v>46062</v>
      </c>
      <c r="H58" s="66" t="s">
        <v>375</v>
      </c>
      <c r="I58" s="68">
        <v>5530000</v>
      </c>
      <c r="J58" s="64" t="s">
        <v>45</v>
      </c>
      <c r="K58" s="67">
        <v>46071</v>
      </c>
      <c r="L58" s="42" t="s">
        <v>266</v>
      </c>
      <c r="M58" s="59"/>
    </row>
    <row r="59" spans="4:13" ht="60" customHeight="1" thickBot="1" x14ac:dyDescent="0.4">
      <c r="D59" s="60" t="s">
        <v>280</v>
      </c>
      <c r="E59" s="61" t="s">
        <v>74</v>
      </c>
      <c r="F59" s="61" t="s">
        <v>30</v>
      </c>
      <c r="G59" s="62">
        <v>46066</v>
      </c>
      <c r="H59" s="61" t="s">
        <v>376</v>
      </c>
      <c r="I59" s="70">
        <v>2447681</v>
      </c>
      <c r="J59" s="64" t="s">
        <v>45</v>
      </c>
      <c r="K59" s="62">
        <v>46071</v>
      </c>
      <c r="L59" s="42" t="s">
        <v>266</v>
      </c>
      <c r="M59" s="59"/>
    </row>
    <row r="60" spans="4:13" ht="60" customHeight="1" thickBot="1" x14ac:dyDescent="0.4">
      <c r="D60" s="65" t="s">
        <v>440</v>
      </c>
      <c r="E60" s="66" t="s">
        <v>74</v>
      </c>
      <c r="F60" s="66" t="s">
        <v>284</v>
      </c>
      <c r="G60" s="67">
        <v>46066</v>
      </c>
      <c r="H60" s="66" t="s">
        <v>377</v>
      </c>
      <c r="I60" s="68">
        <v>693715</v>
      </c>
      <c r="J60" s="64" t="s">
        <v>45</v>
      </c>
      <c r="K60" s="67">
        <v>46071</v>
      </c>
      <c r="L60" s="42" t="s">
        <v>266</v>
      </c>
      <c r="M60" s="59"/>
    </row>
    <row r="61" spans="4:13" ht="60" customHeight="1" thickBot="1" x14ac:dyDescent="0.4">
      <c r="D61" s="60" t="s">
        <v>378</v>
      </c>
      <c r="E61" s="61" t="s">
        <v>368</v>
      </c>
      <c r="F61" s="61" t="s">
        <v>28</v>
      </c>
      <c r="G61" s="62">
        <v>46064</v>
      </c>
      <c r="H61" s="61" t="s">
        <v>369</v>
      </c>
      <c r="I61" s="70">
        <v>1500000</v>
      </c>
      <c r="J61" s="64" t="s">
        <v>45</v>
      </c>
      <c r="K61" s="62">
        <v>46071</v>
      </c>
      <c r="L61" s="42" t="s">
        <v>266</v>
      </c>
      <c r="M61" s="59"/>
    </row>
    <row r="62" spans="4:13" ht="60" customHeight="1" thickBot="1" x14ac:dyDescent="0.4">
      <c r="D62" s="65" t="s">
        <v>77</v>
      </c>
      <c r="E62" s="66" t="s">
        <v>78</v>
      </c>
      <c r="F62" s="66" t="s">
        <v>28</v>
      </c>
      <c r="G62" s="67">
        <v>46065</v>
      </c>
      <c r="H62" s="66" t="s">
        <v>379</v>
      </c>
      <c r="I62" s="68">
        <v>16600000</v>
      </c>
      <c r="J62" s="64" t="s">
        <v>45</v>
      </c>
      <c r="K62" s="67">
        <v>46071</v>
      </c>
      <c r="L62" s="42" t="s">
        <v>266</v>
      </c>
      <c r="M62" s="59"/>
    </row>
    <row r="63" spans="4:13" ht="60" customHeight="1" thickBot="1" x14ac:dyDescent="0.4">
      <c r="D63" s="65" t="s">
        <v>125</v>
      </c>
      <c r="E63" s="66" t="s">
        <v>74</v>
      </c>
      <c r="F63" s="66" t="s">
        <v>126</v>
      </c>
      <c r="G63" s="67">
        <v>46008</v>
      </c>
      <c r="H63" s="66" t="s">
        <v>381</v>
      </c>
      <c r="I63" s="68">
        <v>1229270</v>
      </c>
      <c r="J63" s="64" t="s">
        <v>45</v>
      </c>
      <c r="K63" s="67">
        <v>46073</v>
      </c>
      <c r="L63" s="42" t="s">
        <v>266</v>
      </c>
      <c r="M63" s="59"/>
    </row>
    <row r="64" spans="4:13" ht="303.75" customHeight="1" thickBot="1" x14ac:dyDescent="0.4">
      <c r="D64" s="60" t="s">
        <v>148</v>
      </c>
      <c r="E64" s="61"/>
      <c r="F64" s="61" t="s">
        <v>25</v>
      </c>
      <c r="G64" s="62">
        <v>46037</v>
      </c>
      <c r="H64" s="61" t="s">
        <v>382</v>
      </c>
      <c r="I64" s="70">
        <v>33201000</v>
      </c>
      <c r="J64" s="64" t="s">
        <v>45</v>
      </c>
      <c r="K64" s="62">
        <v>46073</v>
      </c>
      <c r="L64" s="42" t="s">
        <v>266</v>
      </c>
      <c r="M64" s="59"/>
    </row>
    <row r="65" spans="4:13" ht="60" customHeight="1" thickBot="1" x14ac:dyDescent="0.4">
      <c r="D65" s="65" t="s">
        <v>125</v>
      </c>
      <c r="E65" s="66" t="s">
        <v>74</v>
      </c>
      <c r="F65" s="66" t="s">
        <v>126</v>
      </c>
      <c r="G65" s="67">
        <v>46038</v>
      </c>
      <c r="H65" s="66" t="s">
        <v>383</v>
      </c>
      <c r="I65" s="68">
        <v>4298875</v>
      </c>
      <c r="J65" s="64" t="s">
        <v>45</v>
      </c>
      <c r="K65" s="67">
        <v>46073</v>
      </c>
      <c r="L65" s="42" t="s">
        <v>266</v>
      </c>
      <c r="M65" s="59"/>
    </row>
    <row r="66" spans="4:13" ht="76.5" customHeight="1" thickBot="1" x14ac:dyDescent="0.4">
      <c r="D66" s="60" t="s">
        <v>125</v>
      </c>
      <c r="E66" s="61" t="s">
        <v>74</v>
      </c>
      <c r="F66" s="61" t="s">
        <v>126</v>
      </c>
      <c r="G66" s="62">
        <v>46041</v>
      </c>
      <c r="H66" s="61" t="s">
        <v>384</v>
      </c>
      <c r="I66" s="70">
        <v>314160</v>
      </c>
      <c r="J66" s="64" t="s">
        <v>45</v>
      </c>
      <c r="K66" s="62">
        <v>46073</v>
      </c>
      <c r="L66" s="42" t="s">
        <v>266</v>
      </c>
      <c r="M66" s="59"/>
    </row>
    <row r="67" spans="4:13" ht="81.75" customHeight="1" thickBot="1" x14ac:dyDescent="0.4">
      <c r="D67" s="65" t="s">
        <v>125</v>
      </c>
      <c r="E67" s="66" t="s">
        <v>74</v>
      </c>
      <c r="F67" s="66" t="s">
        <v>126</v>
      </c>
      <c r="G67" s="67">
        <v>46050</v>
      </c>
      <c r="H67" s="66" t="s">
        <v>385</v>
      </c>
      <c r="I67" s="68">
        <v>3001085</v>
      </c>
      <c r="J67" s="64" t="s">
        <v>45</v>
      </c>
      <c r="K67" s="67">
        <v>46073</v>
      </c>
      <c r="L67" s="42" t="s">
        <v>266</v>
      </c>
      <c r="M67" s="59"/>
    </row>
    <row r="68" spans="4:13" ht="96.75" customHeight="1" thickBot="1" x14ac:dyDescent="0.4">
      <c r="D68" s="60" t="s">
        <v>441</v>
      </c>
      <c r="E68" s="61" t="s">
        <v>386</v>
      </c>
      <c r="F68" s="61" t="s">
        <v>25</v>
      </c>
      <c r="G68" s="62">
        <v>46071</v>
      </c>
      <c r="H68" s="61" t="s">
        <v>387</v>
      </c>
      <c r="I68" s="70">
        <v>5355000</v>
      </c>
      <c r="J68" s="64" t="s">
        <v>45</v>
      </c>
      <c r="K68" s="62">
        <v>46073</v>
      </c>
      <c r="L68" s="42" t="s">
        <v>266</v>
      </c>
      <c r="M68" s="59"/>
    </row>
    <row r="69" spans="4:13" ht="44" thickBot="1" x14ac:dyDescent="0.4">
      <c r="D69" s="65" t="s">
        <v>77</v>
      </c>
      <c r="E69" s="66" t="s">
        <v>368</v>
      </c>
      <c r="F69" s="66" t="s">
        <v>28</v>
      </c>
      <c r="G69" s="67">
        <v>46070</v>
      </c>
      <c r="H69" s="66" t="s">
        <v>388</v>
      </c>
      <c r="I69" s="68">
        <v>1200000</v>
      </c>
      <c r="J69" s="64" t="s">
        <v>45</v>
      </c>
      <c r="K69" s="67">
        <v>46073</v>
      </c>
      <c r="L69" s="42" t="s">
        <v>266</v>
      </c>
      <c r="M69" s="59"/>
    </row>
    <row r="70" spans="4:13" ht="44" thickBot="1" x14ac:dyDescent="0.4">
      <c r="D70" s="60" t="s">
        <v>427</v>
      </c>
      <c r="E70" s="61" t="s">
        <v>272</v>
      </c>
      <c r="F70" s="61" t="s">
        <v>273</v>
      </c>
      <c r="G70" s="62">
        <v>46069</v>
      </c>
      <c r="H70" s="61" t="s">
        <v>389</v>
      </c>
      <c r="I70" s="70">
        <v>618800</v>
      </c>
      <c r="J70" s="64" t="s">
        <v>45</v>
      </c>
      <c r="K70" s="62">
        <v>46073</v>
      </c>
      <c r="L70" s="42" t="s">
        <v>266</v>
      </c>
      <c r="M70" s="59"/>
    </row>
    <row r="71" spans="4:13" ht="29.5" thickBot="1" x14ac:dyDescent="0.4">
      <c r="D71" s="65" t="s">
        <v>442</v>
      </c>
      <c r="E71" s="66" t="s">
        <v>74</v>
      </c>
      <c r="F71" s="66" t="s">
        <v>30</v>
      </c>
      <c r="G71" s="67">
        <v>46064</v>
      </c>
      <c r="H71" s="66" t="s">
        <v>390</v>
      </c>
      <c r="I71" s="68">
        <v>553000</v>
      </c>
      <c r="J71" s="64" t="s">
        <v>45</v>
      </c>
      <c r="K71" s="67">
        <v>46073</v>
      </c>
      <c r="L71" s="42" t="s">
        <v>266</v>
      </c>
      <c r="M71" s="59"/>
    </row>
    <row r="72" spans="4:13" ht="44" thickBot="1" x14ac:dyDescent="0.4">
      <c r="D72" s="60" t="s">
        <v>135</v>
      </c>
      <c r="E72" s="61" t="s">
        <v>272</v>
      </c>
      <c r="F72" s="61" t="s">
        <v>273</v>
      </c>
      <c r="G72" s="62">
        <v>46070</v>
      </c>
      <c r="H72" s="61" t="s">
        <v>391</v>
      </c>
      <c r="I72" s="70">
        <v>177310</v>
      </c>
      <c r="J72" s="64" t="s">
        <v>45</v>
      </c>
      <c r="K72" s="62">
        <v>46073</v>
      </c>
      <c r="L72" s="42" t="s">
        <v>266</v>
      </c>
      <c r="M72" s="59"/>
    </row>
    <row r="73" spans="4:13" ht="44" thickBot="1" x14ac:dyDescent="0.4">
      <c r="D73" s="65" t="s">
        <v>392</v>
      </c>
      <c r="E73" s="66" t="s">
        <v>393</v>
      </c>
      <c r="F73" s="66" t="s">
        <v>28</v>
      </c>
      <c r="G73" s="67">
        <v>46073</v>
      </c>
      <c r="H73" s="66" t="s">
        <v>369</v>
      </c>
      <c r="I73" s="68">
        <v>4000000</v>
      </c>
      <c r="J73" s="64" t="s">
        <v>45</v>
      </c>
      <c r="K73" s="67">
        <v>46073</v>
      </c>
      <c r="L73" s="42" t="s">
        <v>266</v>
      </c>
      <c r="M73" s="59"/>
    </row>
    <row r="74" spans="4:13" ht="29.5" thickBot="1" x14ac:dyDescent="0.4">
      <c r="D74" s="60" t="s">
        <v>443</v>
      </c>
      <c r="E74" s="61" t="s">
        <v>74</v>
      </c>
      <c r="F74" s="61" t="s">
        <v>284</v>
      </c>
      <c r="G74" s="62">
        <v>46076</v>
      </c>
      <c r="H74" s="61" t="s">
        <v>394</v>
      </c>
      <c r="I74" s="70">
        <v>2713200</v>
      </c>
      <c r="J74" s="64" t="s">
        <v>45</v>
      </c>
      <c r="K74" s="62">
        <v>46076</v>
      </c>
      <c r="L74" s="42" t="s">
        <v>266</v>
      </c>
      <c r="M74" s="59"/>
    </row>
    <row r="75" spans="4:13" ht="15" thickBot="1" x14ac:dyDescent="0.4">
      <c r="D75" s="65" t="s">
        <v>395</v>
      </c>
      <c r="E75" s="66" t="s">
        <v>396</v>
      </c>
      <c r="F75" s="66" t="s">
        <v>25</v>
      </c>
      <c r="G75" s="67">
        <v>46065</v>
      </c>
      <c r="H75" s="66" t="s">
        <v>397</v>
      </c>
      <c r="I75" s="68">
        <v>14994000</v>
      </c>
      <c r="J75" s="64" t="s">
        <v>45</v>
      </c>
      <c r="K75" s="67">
        <v>46076</v>
      </c>
      <c r="L75" s="42" t="s">
        <v>266</v>
      </c>
      <c r="M75" s="59"/>
    </row>
    <row r="76" spans="4:13" ht="44" thickBot="1" x14ac:dyDescent="0.4">
      <c r="D76" s="60" t="s">
        <v>398</v>
      </c>
      <c r="E76" s="61" t="s">
        <v>399</v>
      </c>
      <c r="F76" s="61" t="s">
        <v>28</v>
      </c>
      <c r="G76" s="62">
        <v>46038</v>
      </c>
      <c r="H76" s="61" t="s">
        <v>400</v>
      </c>
      <c r="I76" s="70">
        <v>6839856</v>
      </c>
      <c r="J76" s="64" t="s">
        <v>45</v>
      </c>
      <c r="K76" s="62">
        <v>46078</v>
      </c>
      <c r="L76" s="42" t="s">
        <v>266</v>
      </c>
      <c r="M76" s="59"/>
    </row>
    <row r="77" spans="4:13" ht="29.5" thickBot="1" x14ac:dyDescent="0.4">
      <c r="D77" s="65" t="s">
        <v>280</v>
      </c>
      <c r="E77" s="66" t="s">
        <v>401</v>
      </c>
      <c r="F77" s="66" t="s">
        <v>30</v>
      </c>
      <c r="G77" s="67">
        <v>46073</v>
      </c>
      <c r="H77" s="66" t="s">
        <v>402</v>
      </c>
      <c r="I77" s="68">
        <v>4046524</v>
      </c>
      <c r="J77" s="64" t="s">
        <v>45</v>
      </c>
      <c r="K77" s="67">
        <v>46078</v>
      </c>
      <c r="L77" s="42" t="s">
        <v>266</v>
      </c>
      <c r="M77" s="59"/>
    </row>
    <row r="78" spans="4:13" ht="44" thickBot="1" x14ac:dyDescent="0.4">
      <c r="D78" s="60" t="s">
        <v>135</v>
      </c>
      <c r="E78" s="61" t="s">
        <v>272</v>
      </c>
      <c r="F78" s="61" t="s">
        <v>273</v>
      </c>
      <c r="G78" s="62">
        <v>46077</v>
      </c>
      <c r="H78" s="61" t="s">
        <v>403</v>
      </c>
      <c r="I78" s="70">
        <v>202300</v>
      </c>
      <c r="J78" s="64" t="s">
        <v>45</v>
      </c>
      <c r="K78" s="62">
        <v>46078</v>
      </c>
      <c r="L78" s="42" t="s">
        <v>266</v>
      </c>
      <c r="M78" s="59"/>
    </row>
    <row r="79" spans="4:13" ht="44" thickBot="1" x14ac:dyDescent="0.4">
      <c r="D79" s="65" t="s">
        <v>187</v>
      </c>
      <c r="E79" s="66" t="s">
        <v>404</v>
      </c>
      <c r="F79" s="66" t="s">
        <v>273</v>
      </c>
      <c r="G79" s="67">
        <v>46073</v>
      </c>
      <c r="H79" s="66" t="s">
        <v>405</v>
      </c>
      <c r="I79" s="68">
        <v>375000</v>
      </c>
      <c r="J79" s="64" t="s">
        <v>45</v>
      </c>
      <c r="K79" s="67">
        <v>46078</v>
      </c>
      <c r="L79" s="42" t="s">
        <v>266</v>
      </c>
      <c r="M79" s="59"/>
    </row>
    <row r="80" spans="4:13" ht="44" thickBot="1" x14ac:dyDescent="0.4">
      <c r="D80" s="60" t="s">
        <v>77</v>
      </c>
      <c r="E80" s="61" t="s">
        <v>368</v>
      </c>
      <c r="F80" s="61" t="s">
        <v>28</v>
      </c>
      <c r="G80" s="62">
        <v>46076</v>
      </c>
      <c r="H80" s="61" t="s">
        <v>406</v>
      </c>
      <c r="I80" s="70">
        <v>6000000</v>
      </c>
      <c r="J80" s="64" t="s">
        <v>45</v>
      </c>
      <c r="K80" s="62">
        <v>46078</v>
      </c>
      <c r="L80" s="42" t="s">
        <v>266</v>
      </c>
      <c r="M80" s="59"/>
    </row>
    <row r="81" spans="4:13" ht="44" thickBot="1" x14ac:dyDescent="0.4">
      <c r="D81" s="60" t="s">
        <v>71</v>
      </c>
      <c r="E81" s="61" t="s">
        <v>272</v>
      </c>
      <c r="F81" s="61" t="s">
        <v>273</v>
      </c>
      <c r="G81" s="62">
        <v>46064</v>
      </c>
      <c r="H81" s="61" t="s">
        <v>410</v>
      </c>
      <c r="I81" s="70">
        <v>2201650</v>
      </c>
      <c r="J81" s="64" t="s">
        <v>45</v>
      </c>
      <c r="K81" s="62">
        <v>46078</v>
      </c>
      <c r="L81" s="42" t="s">
        <v>266</v>
      </c>
      <c r="M81" s="59"/>
    </row>
    <row r="82" spans="4:13" ht="44" thickBot="1" x14ac:dyDescent="0.4">
      <c r="D82" s="65" t="s">
        <v>71</v>
      </c>
      <c r="E82" s="66" t="s">
        <v>272</v>
      </c>
      <c r="F82" s="66" t="s">
        <v>273</v>
      </c>
      <c r="G82" s="67">
        <v>46067</v>
      </c>
      <c r="H82" s="66" t="s">
        <v>411</v>
      </c>
      <c r="I82" s="68">
        <v>1574400</v>
      </c>
      <c r="J82" s="64" t="s">
        <v>45</v>
      </c>
      <c r="K82" s="67">
        <v>46078</v>
      </c>
      <c r="L82" s="42" t="s">
        <v>266</v>
      </c>
      <c r="M82" s="59"/>
    </row>
    <row r="83" spans="4:13" ht="15" thickBot="1" x14ac:dyDescent="0.4">
      <c r="D83" s="65" t="s">
        <v>414</v>
      </c>
      <c r="E83" s="80">
        <v>46054</v>
      </c>
      <c r="F83" s="66" t="s">
        <v>211</v>
      </c>
      <c r="G83" s="67">
        <v>46081</v>
      </c>
      <c r="H83" s="66" t="s">
        <v>216</v>
      </c>
      <c r="I83" s="68">
        <v>84000000</v>
      </c>
      <c r="J83" s="64" t="s">
        <v>45</v>
      </c>
      <c r="K83" s="67">
        <v>46078</v>
      </c>
      <c r="L83" s="42" t="s">
        <v>266</v>
      </c>
      <c r="M83" s="59"/>
    </row>
    <row r="84" spans="4:13" ht="15" thickBot="1" x14ac:dyDescent="0.4">
      <c r="D84" s="60" t="s">
        <v>215</v>
      </c>
      <c r="E84" s="78">
        <v>46054</v>
      </c>
      <c r="F84" s="61" t="s">
        <v>415</v>
      </c>
      <c r="G84" s="62" t="s">
        <v>216</v>
      </c>
      <c r="H84" s="61" t="s">
        <v>216</v>
      </c>
      <c r="I84" s="70">
        <v>50000000</v>
      </c>
      <c r="J84" s="64" t="s">
        <v>45</v>
      </c>
      <c r="K84" s="62">
        <v>46078</v>
      </c>
      <c r="L84" s="42" t="s">
        <v>266</v>
      </c>
      <c r="M84" s="59"/>
    </row>
    <row r="85" spans="4:13" ht="44" thickBot="1" x14ac:dyDescent="0.4">
      <c r="D85" s="65" t="s">
        <v>46</v>
      </c>
      <c r="E85" s="80" t="s">
        <v>138</v>
      </c>
      <c r="F85" s="66" t="s">
        <v>273</v>
      </c>
      <c r="G85" s="67">
        <v>46081</v>
      </c>
      <c r="H85" s="66" t="s">
        <v>416</v>
      </c>
      <c r="I85" s="68">
        <v>223884720</v>
      </c>
      <c r="J85" s="64" t="s">
        <v>45</v>
      </c>
      <c r="K85" s="67">
        <v>46081</v>
      </c>
      <c r="L85" s="42" t="s">
        <v>266</v>
      </c>
      <c r="M85" s="59"/>
    </row>
    <row r="86" spans="4:13" ht="29.5" thickBot="1" x14ac:dyDescent="0.4">
      <c r="D86" s="65" t="s">
        <v>254</v>
      </c>
      <c r="E86" s="80">
        <v>46054</v>
      </c>
      <c r="F86" s="66" t="s">
        <v>34</v>
      </c>
      <c r="G86" s="67">
        <v>46081</v>
      </c>
      <c r="H86" s="66" t="s">
        <v>216</v>
      </c>
      <c r="I86" s="68">
        <f>0.5%*'BALANCE FEBRERO 2026'!E11</f>
        <v>14402905.812256968</v>
      </c>
      <c r="J86" s="64" t="s">
        <v>45</v>
      </c>
      <c r="K86" s="67">
        <v>46052</v>
      </c>
      <c r="L86" s="42" t="s">
        <v>266</v>
      </c>
      <c r="M86" s="59"/>
    </row>
    <row r="87" spans="4:13" ht="89.25" customHeight="1" thickBot="1" x14ac:dyDescent="0.4">
      <c r="D87" s="65" t="s">
        <v>417</v>
      </c>
      <c r="E87" s="80">
        <v>46054</v>
      </c>
      <c r="F87" s="66" t="s">
        <v>31</v>
      </c>
      <c r="G87" s="67">
        <v>46081</v>
      </c>
      <c r="H87" s="81" t="s">
        <v>216</v>
      </c>
      <c r="I87" s="68">
        <v>50105611</v>
      </c>
      <c r="J87" s="64" t="s">
        <v>45</v>
      </c>
      <c r="K87" s="67">
        <v>46081</v>
      </c>
      <c r="L87" s="42" t="s">
        <v>266</v>
      </c>
      <c r="M87" s="59"/>
    </row>
    <row r="88" spans="4:13" ht="15" thickBot="1" x14ac:dyDescent="0.4">
      <c r="D88" s="60" t="s">
        <v>276</v>
      </c>
      <c r="E88" s="61" t="s">
        <v>172</v>
      </c>
      <c r="F88" s="61" t="s">
        <v>26</v>
      </c>
      <c r="G88" s="62">
        <v>46020</v>
      </c>
      <c r="H88" s="61" t="s">
        <v>277</v>
      </c>
      <c r="I88" s="70">
        <v>2500000</v>
      </c>
      <c r="J88" s="64" t="s">
        <v>45</v>
      </c>
      <c r="K88" s="62">
        <v>46056</v>
      </c>
      <c r="L88" s="42" t="s">
        <v>265</v>
      </c>
      <c r="M88" s="59"/>
    </row>
    <row r="89" spans="4:13" ht="82.5" customHeight="1" thickBot="1" x14ac:dyDescent="0.4">
      <c r="D89" s="60" t="s">
        <v>295</v>
      </c>
      <c r="E89" s="75" t="s">
        <v>296</v>
      </c>
      <c r="F89" s="61" t="s">
        <v>85</v>
      </c>
      <c r="G89" s="62">
        <v>45992</v>
      </c>
      <c r="H89" s="61" t="s">
        <v>297</v>
      </c>
      <c r="I89" s="70">
        <v>3748500</v>
      </c>
      <c r="J89" s="64" t="s">
        <v>45</v>
      </c>
      <c r="K89" s="62">
        <v>46057</v>
      </c>
      <c r="L89" s="42" t="s">
        <v>265</v>
      </c>
      <c r="M89" s="59"/>
    </row>
    <row r="90" spans="4:13" ht="44" thickBot="1" x14ac:dyDescent="0.4">
      <c r="D90" s="65" t="s">
        <v>295</v>
      </c>
      <c r="E90" s="74" t="s">
        <v>296</v>
      </c>
      <c r="F90" s="66" t="s">
        <v>85</v>
      </c>
      <c r="G90" s="67">
        <v>45944</v>
      </c>
      <c r="H90" s="66" t="s">
        <v>298</v>
      </c>
      <c r="I90" s="68">
        <v>3785500</v>
      </c>
      <c r="J90" s="64" t="s">
        <v>45</v>
      </c>
      <c r="K90" s="67">
        <v>46057</v>
      </c>
      <c r="L90" s="42" t="s">
        <v>265</v>
      </c>
      <c r="M90" s="59"/>
    </row>
    <row r="91" spans="4:13" ht="44" thickBot="1" x14ac:dyDescent="0.4">
      <c r="D91" s="60" t="s">
        <v>295</v>
      </c>
      <c r="E91" s="75" t="s">
        <v>296</v>
      </c>
      <c r="F91" s="61" t="s">
        <v>85</v>
      </c>
      <c r="G91" s="62">
        <v>46029</v>
      </c>
      <c r="H91" s="61" t="s">
        <v>299</v>
      </c>
      <c r="I91" s="70">
        <v>3748500</v>
      </c>
      <c r="J91" s="64" t="s">
        <v>45</v>
      </c>
      <c r="K91" s="62">
        <v>46057</v>
      </c>
      <c r="L91" s="42" t="s">
        <v>265</v>
      </c>
      <c r="M91" s="59"/>
    </row>
    <row r="92" spans="4:13" ht="44" thickBot="1" x14ac:dyDescent="0.4">
      <c r="D92" s="65" t="s">
        <v>300</v>
      </c>
      <c r="E92" s="74" t="s">
        <v>296</v>
      </c>
      <c r="F92" s="66" t="s">
        <v>85</v>
      </c>
      <c r="G92" s="67">
        <v>46057</v>
      </c>
      <c r="H92" s="66" t="s">
        <v>371</v>
      </c>
      <c r="I92" s="68">
        <v>4500000</v>
      </c>
      <c r="J92" s="64" t="s">
        <v>45</v>
      </c>
      <c r="K92" s="67">
        <v>46057</v>
      </c>
      <c r="L92" s="42" t="s">
        <v>265</v>
      </c>
      <c r="M92" s="59"/>
    </row>
    <row r="93" spans="4:13" ht="29.5" thickBot="1" x14ac:dyDescent="0.4">
      <c r="D93" s="60" t="s">
        <v>107</v>
      </c>
      <c r="E93" s="61" t="s">
        <v>108</v>
      </c>
      <c r="F93" s="61" t="s">
        <v>26</v>
      </c>
      <c r="G93" s="62">
        <v>46028</v>
      </c>
      <c r="H93" s="61" t="s">
        <v>301</v>
      </c>
      <c r="I93" s="70">
        <v>3387930</v>
      </c>
      <c r="J93" s="64" t="s">
        <v>45</v>
      </c>
      <c r="K93" s="62">
        <v>46057</v>
      </c>
      <c r="L93" s="42" t="s">
        <v>265</v>
      </c>
      <c r="M93" s="59"/>
    </row>
    <row r="94" spans="4:13" ht="44" thickBot="1" x14ac:dyDescent="0.4">
      <c r="D94" s="65" t="s">
        <v>432</v>
      </c>
      <c r="E94" s="66" t="s">
        <v>319</v>
      </c>
      <c r="F94" s="66" t="s">
        <v>273</v>
      </c>
      <c r="G94" s="67">
        <v>46057</v>
      </c>
      <c r="H94" s="66" t="s">
        <v>320</v>
      </c>
      <c r="I94" s="68">
        <v>4486300</v>
      </c>
      <c r="J94" s="64" t="s">
        <v>45</v>
      </c>
      <c r="K94" s="67">
        <v>46058</v>
      </c>
      <c r="L94" s="42" t="s">
        <v>265</v>
      </c>
      <c r="M94" s="59"/>
    </row>
    <row r="95" spans="4:13" ht="79.5" customHeight="1" thickBot="1" x14ac:dyDescent="0.4">
      <c r="D95" s="60" t="s">
        <v>325</v>
      </c>
      <c r="E95" s="61" t="s">
        <v>326</v>
      </c>
      <c r="F95" s="61" t="s">
        <v>327</v>
      </c>
      <c r="G95" s="62">
        <v>46058</v>
      </c>
      <c r="H95" s="61" t="s">
        <v>449</v>
      </c>
      <c r="I95" s="70">
        <v>1000000</v>
      </c>
      <c r="J95" s="64" t="s">
        <v>45</v>
      </c>
      <c r="K95" s="62">
        <v>46058</v>
      </c>
      <c r="L95" s="42" t="s">
        <v>265</v>
      </c>
      <c r="M95" s="59"/>
    </row>
    <row r="96" spans="4:13" ht="87" customHeight="1" thickBot="1" x14ac:dyDescent="0.4">
      <c r="D96" s="65" t="s">
        <v>63</v>
      </c>
      <c r="E96" s="66" t="s">
        <v>64</v>
      </c>
      <c r="F96" s="66" t="s">
        <v>327</v>
      </c>
      <c r="G96" s="67">
        <v>46055</v>
      </c>
      <c r="H96" s="66" t="s">
        <v>346</v>
      </c>
      <c r="I96" s="68">
        <v>1238571</v>
      </c>
      <c r="J96" s="64" t="s">
        <v>45</v>
      </c>
      <c r="K96" s="67">
        <v>46063</v>
      </c>
      <c r="L96" s="42" t="s">
        <v>265</v>
      </c>
      <c r="M96" s="59"/>
    </row>
    <row r="97" spans="4:13" ht="83.25" customHeight="1" thickBot="1" x14ac:dyDescent="0.4">
      <c r="D97" s="60" t="s">
        <v>63</v>
      </c>
      <c r="E97" s="61" t="s">
        <v>66</v>
      </c>
      <c r="F97" s="61" t="s">
        <v>327</v>
      </c>
      <c r="G97" s="62">
        <v>46056</v>
      </c>
      <c r="H97" s="61" t="s">
        <v>347</v>
      </c>
      <c r="I97" s="70">
        <v>243900</v>
      </c>
      <c r="J97" s="64" t="s">
        <v>45</v>
      </c>
      <c r="K97" s="62">
        <v>46063</v>
      </c>
      <c r="L97" s="42" t="s">
        <v>265</v>
      </c>
      <c r="M97" s="59"/>
    </row>
    <row r="98" spans="4:13" ht="15" thickBot="1" x14ac:dyDescent="0.4">
      <c r="D98" s="60" t="s">
        <v>83</v>
      </c>
      <c r="E98" s="61" t="s">
        <v>84</v>
      </c>
      <c r="F98" s="61" t="s">
        <v>85</v>
      </c>
      <c r="G98" s="62">
        <v>46035</v>
      </c>
      <c r="H98" s="61" t="s">
        <v>454</v>
      </c>
      <c r="I98" s="70">
        <v>1261519</v>
      </c>
      <c r="J98" s="64" t="s">
        <v>45</v>
      </c>
      <c r="K98" s="62">
        <v>46063</v>
      </c>
      <c r="L98" s="42" t="s">
        <v>265</v>
      </c>
      <c r="M98" s="59"/>
    </row>
    <row r="99" spans="4:13" ht="106.5" customHeight="1" thickBot="1" x14ac:dyDescent="0.4">
      <c r="D99" s="65" t="s">
        <v>171</v>
      </c>
      <c r="E99" s="66" t="s">
        <v>172</v>
      </c>
      <c r="F99" s="66" t="s">
        <v>26</v>
      </c>
      <c r="G99" s="67">
        <v>46063</v>
      </c>
      <c r="H99" s="66" t="s">
        <v>355</v>
      </c>
      <c r="I99" s="68">
        <v>7140000</v>
      </c>
      <c r="J99" s="64" t="s">
        <v>45</v>
      </c>
      <c r="K99" s="67">
        <v>46064</v>
      </c>
      <c r="L99" s="42" t="s">
        <v>265</v>
      </c>
      <c r="M99" s="59"/>
    </row>
    <row r="100" spans="4:13" ht="106.5" customHeight="1" thickBot="1" x14ac:dyDescent="0.4">
      <c r="D100" s="60" t="s">
        <v>46</v>
      </c>
      <c r="E100" s="61" t="s">
        <v>366</v>
      </c>
      <c r="F100" s="61" t="s">
        <v>273</v>
      </c>
      <c r="G100" s="62">
        <v>46068</v>
      </c>
      <c r="H100" s="61" t="s">
        <v>365</v>
      </c>
      <c r="I100" s="70">
        <v>17567775</v>
      </c>
      <c r="J100" s="64" t="s">
        <v>45</v>
      </c>
      <c r="K100" s="62">
        <v>46068</v>
      </c>
      <c r="L100" s="42" t="s">
        <v>265</v>
      </c>
      <c r="M100" s="59"/>
    </row>
    <row r="101" spans="4:13" ht="29.5" thickBot="1" x14ac:dyDescent="0.4">
      <c r="D101" s="65" t="s">
        <v>276</v>
      </c>
      <c r="E101" s="66" t="s">
        <v>172</v>
      </c>
      <c r="F101" s="66" t="s">
        <v>26</v>
      </c>
      <c r="G101" s="67">
        <v>46064</v>
      </c>
      <c r="H101" s="66" t="s">
        <v>371</v>
      </c>
      <c r="I101" s="68">
        <v>2800000</v>
      </c>
      <c r="J101" s="64" t="s">
        <v>45</v>
      </c>
      <c r="K101" s="67">
        <v>46070</v>
      </c>
      <c r="L101" s="42" t="s">
        <v>265</v>
      </c>
      <c r="M101" s="59"/>
    </row>
    <row r="102" spans="4:13" ht="29.5" thickBot="1" x14ac:dyDescent="0.4">
      <c r="D102" s="60" t="s">
        <v>276</v>
      </c>
      <c r="E102" s="61" t="s">
        <v>172</v>
      </c>
      <c r="F102" s="61" t="s">
        <v>26</v>
      </c>
      <c r="G102" s="62">
        <v>46064</v>
      </c>
      <c r="H102" s="61" t="s">
        <v>372</v>
      </c>
      <c r="I102" s="70">
        <v>3500000</v>
      </c>
      <c r="J102" s="64" t="s">
        <v>45</v>
      </c>
      <c r="K102" s="62">
        <v>46070</v>
      </c>
      <c r="L102" s="42" t="s">
        <v>265</v>
      </c>
      <c r="M102" s="59"/>
    </row>
    <row r="103" spans="4:13" ht="58.5" thickBot="1" x14ac:dyDescent="0.4">
      <c r="D103" s="60" t="s">
        <v>94</v>
      </c>
      <c r="E103" s="61" t="s">
        <v>95</v>
      </c>
      <c r="F103" s="61" t="s">
        <v>28</v>
      </c>
      <c r="G103" s="62">
        <v>46054</v>
      </c>
      <c r="H103" s="61" t="s">
        <v>380</v>
      </c>
      <c r="I103" s="70">
        <v>1680000</v>
      </c>
      <c r="J103" s="64" t="s">
        <v>45</v>
      </c>
      <c r="K103" s="62">
        <v>46071</v>
      </c>
      <c r="L103" s="42" t="s">
        <v>265</v>
      </c>
      <c r="M103" s="59"/>
    </row>
    <row r="104" spans="4:13" ht="83.25" customHeight="1" thickBot="1" x14ac:dyDescent="0.4">
      <c r="D104" s="65" t="s">
        <v>407</v>
      </c>
      <c r="E104" s="66" t="s">
        <v>408</v>
      </c>
      <c r="F104" s="66" t="s">
        <v>327</v>
      </c>
      <c r="G104" s="67">
        <v>46070</v>
      </c>
      <c r="H104" s="66" t="s">
        <v>409</v>
      </c>
      <c r="I104" s="68">
        <v>900000</v>
      </c>
      <c r="J104" s="64" t="s">
        <v>45</v>
      </c>
      <c r="K104" s="67">
        <v>46078</v>
      </c>
      <c r="L104" s="42" t="s">
        <v>265</v>
      </c>
      <c r="M104" s="59"/>
    </row>
    <row r="105" spans="4:13" ht="80.25" customHeight="1" thickBot="1" x14ac:dyDescent="0.4">
      <c r="D105" s="60" t="s">
        <v>80</v>
      </c>
      <c r="E105" s="61" t="s">
        <v>412</v>
      </c>
      <c r="F105" s="61" t="s">
        <v>26</v>
      </c>
      <c r="G105" s="62">
        <v>46052</v>
      </c>
      <c r="H105" s="61" t="s">
        <v>413</v>
      </c>
      <c r="I105" s="70">
        <v>3300000</v>
      </c>
      <c r="J105" s="64" t="s">
        <v>45</v>
      </c>
      <c r="K105" s="62">
        <v>46078</v>
      </c>
      <c r="L105" s="42" t="s">
        <v>265</v>
      </c>
      <c r="M105" s="59"/>
    </row>
    <row r="106" spans="4:13" ht="80.25" customHeight="1" thickBot="1" x14ac:dyDescent="0.4">
      <c r="D106" s="60" t="s">
        <v>46</v>
      </c>
      <c r="E106" s="78" t="s">
        <v>366</v>
      </c>
      <c r="F106" s="61" t="s">
        <v>273</v>
      </c>
      <c r="G106" s="62">
        <v>46081</v>
      </c>
      <c r="H106" s="61" t="s">
        <v>416</v>
      </c>
      <c r="I106" s="70">
        <v>14719152</v>
      </c>
      <c r="J106" s="64" t="s">
        <v>45</v>
      </c>
      <c r="K106" s="62">
        <v>46081</v>
      </c>
      <c r="L106" s="42" t="s">
        <v>265</v>
      </c>
      <c r="M106" s="59"/>
    </row>
    <row r="107" spans="4:13" ht="14.25" customHeight="1" x14ac:dyDescent="0.35">
      <c r="M107" s="59"/>
    </row>
    <row r="108" spans="4:13" ht="14.25" customHeight="1" x14ac:dyDescent="0.35">
      <c r="M108" s="59"/>
    </row>
    <row r="109" spans="4:13" ht="14.25" customHeight="1" x14ac:dyDescent="0.35">
      <c r="H109" s="82" t="s">
        <v>418</v>
      </c>
      <c r="I109" s="83"/>
      <c r="K109" s="83"/>
      <c r="M109" s="59"/>
    </row>
    <row r="110" spans="4:13" ht="14.25" customHeight="1" x14ac:dyDescent="0.35">
      <c r="D110" s="181" t="s">
        <v>419</v>
      </c>
      <c r="E110" s="182"/>
      <c r="M110" s="59"/>
    </row>
    <row r="111" spans="4:13" ht="14.25" customHeight="1" x14ac:dyDescent="0.35">
      <c r="D111" s="84">
        <v>46054</v>
      </c>
      <c r="E111" s="85">
        <v>3670.47</v>
      </c>
      <c r="M111" s="59"/>
    </row>
    <row r="112" spans="4:13" ht="14.25" customHeight="1" x14ac:dyDescent="0.35">
      <c r="D112" s="84">
        <v>46055</v>
      </c>
      <c r="E112" s="85">
        <v>3670.47</v>
      </c>
      <c r="M112" s="59"/>
    </row>
    <row r="113" spans="4:13" ht="14.25" customHeight="1" x14ac:dyDescent="0.35">
      <c r="D113" s="84">
        <v>46056</v>
      </c>
      <c r="E113" s="85">
        <v>3628.16</v>
      </c>
      <c r="M113" s="59"/>
    </row>
    <row r="114" spans="4:13" ht="14.25" customHeight="1" x14ac:dyDescent="0.35">
      <c r="D114" s="84">
        <v>46057</v>
      </c>
      <c r="E114" s="85">
        <v>3622</v>
      </c>
      <c r="M114" s="59"/>
    </row>
    <row r="115" spans="4:13" ht="14.25" customHeight="1" x14ac:dyDescent="0.35">
      <c r="D115" s="84">
        <v>46058</v>
      </c>
      <c r="E115" s="85">
        <v>3644.93</v>
      </c>
      <c r="M115" s="59"/>
    </row>
    <row r="116" spans="4:13" ht="14.25" customHeight="1" x14ac:dyDescent="0.35">
      <c r="D116" s="84">
        <v>46059</v>
      </c>
      <c r="E116" s="85">
        <v>3691.75</v>
      </c>
      <c r="M116" s="59"/>
    </row>
    <row r="117" spans="4:13" ht="14.25" customHeight="1" x14ac:dyDescent="0.35">
      <c r="D117" s="84">
        <v>46060</v>
      </c>
      <c r="E117" s="85">
        <v>3670.2</v>
      </c>
      <c r="M117" s="59"/>
    </row>
    <row r="118" spans="4:13" ht="14.25" customHeight="1" x14ac:dyDescent="0.35">
      <c r="D118" s="84">
        <v>46061</v>
      </c>
      <c r="E118" s="85">
        <v>3670.2</v>
      </c>
      <c r="M118" s="59"/>
    </row>
    <row r="119" spans="4:13" ht="14.25" customHeight="1" x14ac:dyDescent="0.35">
      <c r="D119" s="84">
        <v>46062</v>
      </c>
      <c r="E119" s="85">
        <v>3670.2</v>
      </c>
      <c r="M119" s="59"/>
    </row>
    <row r="120" spans="4:13" ht="14.25" customHeight="1" x14ac:dyDescent="0.35">
      <c r="D120" s="84">
        <v>46063</v>
      </c>
      <c r="E120" s="85">
        <v>3651.9</v>
      </c>
      <c r="M120" s="59"/>
    </row>
    <row r="121" spans="4:13" ht="14.25" customHeight="1" x14ac:dyDescent="0.35">
      <c r="D121" s="84">
        <v>46064</v>
      </c>
      <c r="E121" s="85">
        <v>3659.71</v>
      </c>
      <c r="M121" s="59"/>
    </row>
    <row r="122" spans="4:13" ht="14.25" customHeight="1" x14ac:dyDescent="0.35">
      <c r="D122" s="84">
        <v>46065</v>
      </c>
      <c r="E122" s="85">
        <v>3671.01</v>
      </c>
      <c r="M122" s="59"/>
    </row>
    <row r="123" spans="4:13" ht="14.25" customHeight="1" x14ac:dyDescent="0.35">
      <c r="D123" s="84">
        <v>46066</v>
      </c>
      <c r="E123" s="85">
        <v>3665.78</v>
      </c>
      <c r="M123" s="59"/>
    </row>
    <row r="124" spans="4:13" ht="14.25" customHeight="1" x14ac:dyDescent="0.35">
      <c r="D124" s="84">
        <v>46067</v>
      </c>
      <c r="E124" s="85">
        <v>3652.89</v>
      </c>
      <c r="M124" s="59"/>
    </row>
    <row r="125" spans="4:13" ht="14.25" customHeight="1" x14ac:dyDescent="0.35">
      <c r="D125" s="84">
        <v>46068</v>
      </c>
      <c r="E125" s="85">
        <v>3652.89</v>
      </c>
      <c r="M125" s="59"/>
    </row>
    <row r="126" spans="4:13" ht="14.25" customHeight="1" x14ac:dyDescent="0.35">
      <c r="D126" s="84">
        <v>46069</v>
      </c>
      <c r="E126" s="85">
        <v>3652.89</v>
      </c>
      <c r="M126" s="59"/>
    </row>
    <row r="127" spans="4:13" ht="14.25" customHeight="1" x14ac:dyDescent="0.35">
      <c r="D127" s="84">
        <v>46070</v>
      </c>
      <c r="E127" s="85">
        <v>3652.89</v>
      </c>
      <c r="M127" s="59"/>
    </row>
    <row r="128" spans="4:13" ht="14.25" customHeight="1" x14ac:dyDescent="0.35">
      <c r="D128" s="84">
        <v>46071</v>
      </c>
      <c r="E128" s="85">
        <v>3664.26</v>
      </c>
      <c r="M128" s="59"/>
    </row>
    <row r="129" spans="4:13" ht="14.25" customHeight="1" x14ac:dyDescent="0.35">
      <c r="D129" s="84">
        <v>46072</v>
      </c>
      <c r="E129" s="85">
        <v>3669.21</v>
      </c>
      <c r="M129" s="59"/>
    </row>
    <row r="130" spans="4:13" ht="14.25" customHeight="1" x14ac:dyDescent="0.35">
      <c r="D130" s="84">
        <v>46073</v>
      </c>
      <c r="E130" s="85">
        <v>3695.72</v>
      </c>
      <c r="M130" s="59"/>
    </row>
    <row r="131" spans="4:13" ht="14.25" customHeight="1" x14ac:dyDescent="0.35">
      <c r="D131" s="84">
        <v>46074</v>
      </c>
      <c r="E131" s="85">
        <v>3691.34</v>
      </c>
      <c r="M131" s="59"/>
    </row>
    <row r="132" spans="4:13" ht="14.25" customHeight="1" x14ac:dyDescent="0.35">
      <c r="D132" s="84">
        <v>46075</v>
      </c>
      <c r="E132" s="85">
        <v>3691.34</v>
      </c>
      <c r="M132" s="59"/>
    </row>
    <row r="133" spans="4:13" ht="14.25" customHeight="1" x14ac:dyDescent="0.35">
      <c r="D133" s="84">
        <v>46076</v>
      </c>
      <c r="E133" s="85">
        <v>3691.34</v>
      </c>
      <c r="M133" s="59"/>
    </row>
    <row r="134" spans="4:13" ht="14.25" customHeight="1" x14ac:dyDescent="0.35">
      <c r="D134" s="84">
        <v>46077</v>
      </c>
      <c r="E134" s="85">
        <v>3697.36</v>
      </c>
      <c r="M134" s="59"/>
    </row>
    <row r="135" spans="4:13" ht="14.25" customHeight="1" x14ac:dyDescent="0.35">
      <c r="D135" s="84">
        <v>46078</v>
      </c>
      <c r="E135" s="85">
        <v>3703.28</v>
      </c>
      <c r="M135" s="59"/>
    </row>
    <row r="136" spans="4:13" ht="14.25" customHeight="1" x14ac:dyDescent="0.35">
      <c r="D136" s="84">
        <v>46079</v>
      </c>
      <c r="E136" s="85">
        <v>3703.69</v>
      </c>
      <c r="M136" s="59"/>
    </row>
    <row r="137" spans="4:13" ht="14.25" customHeight="1" x14ac:dyDescent="0.35">
      <c r="D137" s="84">
        <v>46080</v>
      </c>
      <c r="E137" s="85">
        <v>3745.78</v>
      </c>
      <c r="M137" s="59"/>
    </row>
    <row r="138" spans="4:13" ht="14.25" customHeight="1" x14ac:dyDescent="0.35">
      <c r="D138" s="84">
        <v>46081</v>
      </c>
      <c r="E138" s="85">
        <v>3766.3</v>
      </c>
      <c r="M138" s="59"/>
    </row>
    <row r="139" spans="4:13" ht="14.25" customHeight="1" x14ac:dyDescent="0.35">
      <c r="D139" s="86" t="s">
        <v>420</v>
      </c>
      <c r="E139" s="87">
        <f>AVERAGE(E111:E138)</f>
        <v>3675.6414285714282</v>
      </c>
      <c r="G139" s="88"/>
      <c r="M139" s="59"/>
    </row>
    <row r="140" spans="4:13" ht="14.25" customHeight="1" x14ac:dyDescent="0.35">
      <c r="M140" s="59"/>
    </row>
    <row r="141" spans="4:13" ht="14.25" customHeight="1" x14ac:dyDescent="0.35">
      <c r="M141" s="59"/>
    </row>
    <row r="142" spans="4:13" ht="14.25" customHeight="1" x14ac:dyDescent="0.35">
      <c r="M142" s="59"/>
    </row>
    <row r="143" spans="4:13" ht="14.25" customHeight="1" x14ac:dyDescent="0.35">
      <c r="M143" s="59"/>
    </row>
    <row r="144" spans="4:13" ht="14.25" customHeight="1" x14ac:dyDescent="0.35">
      <c r="M144" s="59"/>
    </row>
    <row r="145" spans="13:13" ht="14.25" customHeight="1" x14ac:dyDescent="0.35">
      <c r="M145" s="59"/>
    </row>
    <row r="146" spans="13:13" ht="14.25" customHeight="1" x14ac:dyDescent="0.35">
      <c r="M146" s="59"/>
    </row>
    <row r="147" spans="13:13" ht="14.25" customHeight="1" x14ac:dyDescent="0.35">
      <c r="M147" s="59"/>
    </row>
    <row r="148" spans="13:13" ht="14.25" customHeight="1" x14ac:dyDescent="0.35">
      <c r="M148" s="59"/>
    </row>
    <row r="149" spans="13:13" ht="14.25" customHeight="1" x14ac:dyDescent="0.35">
      <c r="M149" s="59"/>
    </row>
    <row r="150" spans="13:13" ht="14.25" customHeight="1" x14ac:dyDescent="0.35">
      <c r="M150" s="59"/>
    </row>
    <row r="151" spans="13:13" ht="14.25" customHeight="1" x14ac:dyDescent="0.35">
      <c r="M151" s="59"/>
    </row>
    <row r="152" spans="13:13" ht="14.25" customHeight="1" x14ac:dyDescent="0.35">
      <c r="M152" s="59"/>
    </row>
    <row r="153" spans="13:13" ht="14.25" customHeight="1" x14ac:dyDescent="0.35">
      <c r="M153" s="59"/>
    </row>
    <row r="154" spans="13:13" ht="14.25" customHeight="1" x14ac:dyDescent="0.35">
      <c r="M154" s="59"/>
    </row>
    <row r="155" spans="13:13" ht="14.25" customHeight="1" x14ac:dyDescent="0.35">
      <c r="M155" s="59"/>
    </row>
    <row r="156" spans="13:13" ht="14.25" customHeight="1" x14ac:dyDescent="0.35">
      <c r="M156" s="59"/>
    </row>
    <row r="157" spans="13:13" ht="14.25" customHeight="1" x14ac:dyDescent="0.35">
      <c r="M157" s="59"/>
    </row>
    <row r="158" spans="13:13" ht="14.25" customHeight="1" x14ac:dyDescent="0.35">
      <c r="M158" s="59"/>
    </row>
    <row r="159" spans="13:13" ht="14.25" customHeight="1" x14ac:dyDescent="0.35">
      <c r="M159" s="59"/>
    </row>
    <row r="160" spans="13:13" ht="14.25" customHeight="1" x14ac:dyDescent="0.35">
      <c r="M160" s="59"/>
    </row>
    <row r="161" spans="13:13" ht="14.25" customHeight="1" x14ac:dyDescent="0.35">
      <c r="M161" s="59"/>
    </row>
    <row r="162" spans="13:13" ht="14.25" customHeight="1" x14ac:dyDescent="0.35">
      <c r="M162" s="59"/>
    </row>
    <row r="163" spans="13:13" ht="14.25" customHeight="1" x14ac:dyDescent="0.35">
      <c r="M163" s="59"/>
    </row>
    <row r="164" spans="13:13" ht="14.25" customHeight="1" x14ac:dyDescent="0.35">
      <c r="M164" s="59"/>
    </row>
    <row r="165" spans="13:13" ht="14.25" customHeight="1" x14ac:dyDescent="0.35">
      <c r="M165" s="59"/>
    </row>
    <row r="166" spans="13:13" ht="14.25" customHeight="1" x14ac:dyDescent="0.35">
      <c r="M166" s="59"/>
    </row>
    <row r="167" spans="13:13" ht="14.25" customHeight="1" x14ac:dyDescent="0.35">
      <c r="M167" s="59"/>
    </row>
    <row r="168" spans="13:13" ht="14.25" customHeight="1" x14ac:dyDescent="0.35">
      <c r="M168" s="59"/>
    </row>
    <row r="169" spans="13:13" ht="14.25" customHeight="1" x14ac:dyDescent="0.35">
      <c r="M169" s="59"/>
    </row>
    <row r="170" spans="13:13" ht="14.25" customHeight="1" x14ac:dyDescent="0.35">
      <c r="M170" s="59"/>
    </row>
    <row r="171" spans="13:13" ht="14.25" customHeight="1" x14ac:dyDescent="0.35">
      <c r="M171" s="59"/>
    </row>
    <row r="172" spans="13:13" ht="14.25" customHeight="1" x14ac:dyDescent="0.35">
      <c r="M172" s="59"/>
    </row>
    <row r="173" spans="13:13" ht="14.25" customHeight="1" x14ac:dyDescent="0.35">
      <c r="M173" s="59"/>
    </row>
    <row r="174" spans="13:13" ht="14.25" customHeight="1" x14ac:dyDescent="0.35">
      <c r="M174" s="59"/>
    </row>
    <row r="175" spans="13:13" ht="14.25" customHeight="1" x14ac:dyDescent="0.35">
      <c r="M175" s="59"/>
    </row>
    <row r="176" spans="13:13" ht="14.25" customHeight="1" x14ac:dyDescent="0.35">
      <c r="M176" s="59"/>
    </row>
    <row r="177" spans="13:13" ht="14.25" customHeight="1" x14ac:dyDescent="0.35">
      <c r="M177" s="59"/>
    </row>
    <row r="178" spans="13:13" ht="14.25" customHeight="1" x14ac:dyDescent="0.35">
      <c r="M178" s="59"/>
    </row>
    <row r="179" spans="13:13" ht="14.25" customHeight="1" x14ac:dyDescent="0.35">
      <c r="M179" s="59"/>
    </row>
    <row r="180" spans="13:13" ht="14.25" customHeight="1" x14ac:dyDescent="0.35">
      <c r="M180" s="59"/>
    </row>
    <row r="181" spans="13:13" ht="14.25" customHeight="1" x14ac:dyDescent="0.35">
      <c r="M181" s="59"/>
    </row>
    <row r="182" spans="13:13" ht="14.25" customHeight="1" x14ac:dyDescent="0.35">
      <c r="M182" s="59"/>
    </row>
    <row r="183" spans="13:13" ht="14.25" customHeight="1" x14ac:dyDescent="0.35">
      <c r="M183" s="59"/>
    </row>
    <row r="184" spans="13:13" ht="14.25" customHeight="1" x14ac:dyDescent="0.35">
      <c r="M184" s="59"/>
    </row>
    <row r="185" spans="13:13" ht="14.25" customHeight="1" x14ac:dyDescent="0.35">
      <c r="M185" s="59"/>
    </row>
    <row r="186" spans="13:13" ht="14.25" customHeight="1" x14ac:dyDescent="0.35">
      <c r="M186" s="59"/>
    </row>
    <row r="187" spans="13:13" ht="14.25" customHeight="1" x14ac:dyDescent="0.35">
      <c r="M187" s="59"/>
    </row>
    <row r="188" spans="13:13" ht="14.25" customHeight="1" x14ac:dyDescent="0.35">
      <c r="M188" s="59"/>
    </row>
    <row r="189" spans="13:13" ht="14.25" customHeight="1" x14ac:dyDescent="0.35">
      <c r="M189" s="59"/>
    </row>
    <row r="190" spans="13:13" ht="14.25" customHeight="1" x14ac:dyDescent="0.35">
      <c r="M190" s="59"/>
    </row>
    <row r="191" spans="13:13" ht="14.25" customHeight="1" x14ac:dyDescent="0.35">
      <c r="M191" s="59"/>
    </row>
    <row r="192" spans="13:13" ht="14.25" customHeight="1" x14ac:dyDescent="0.35">
      <c r="M192" s="59"/>
    </row>
    <row r="193" spans="13:13" ht="14.25" customHeight="1" x14ac:dyDescent="0.35">
      <c r="M193" s="59"/>
    </row>
    <row r="194" spans="13:13" ht="14.25" customHeight="1" x14ac:dyDescent="0.35">
      <c r="M194" s="59"/>
    </row>
    <row r="195" spans="13:13" ht="14.25" customHeight="1" x14ac:dyDescent="0.35">
      <c r="M195" s="59"/>
    </row>
    <row r="196" spans="13:13" ht="14.25" customHeight="1" x14ac:dyDescent="0.35">
      <c r="M196" s="59"/>
    </row>
    <row r="197" spans="13:13" ht="14.25" customHeight="1" x14ac:dyDescent="0.35">
      <c r="M197" s="59"/>
    </row>
    <row r="198" spans="13:13" ht="14.25" customHeight="1" x14ac:dyDescent="0.35">
      <c r="M198" s="59"/>
    </row>
    <row r="199" spans="13:13" ht="14.25" customHeight="1" x14ac:dyDescent="0.35">
      <c r="M199" s="59"/>
    </row>
    <row r="200" spans="13:13" ht="14.25" customHeight="1" x14ac:dyDescent="0.35">
      <c r="M200" s="59"/>
    </row>
    <row r="201" spans="13:13" ht="14.25" customHeight="1" x14ac:dyDescent="0.35">
      <c r="M201" s="59"/>
    </row>
    <row r="202" spans="13:13" ht="14.25" customHeight="1" x14ac:dyDescent="0.35">
      <c r="M202" s="59"/>
    </row>
    <row r="203" spans="13:13" ht="14.25" customHeight="1" x14ac:dyDescent="0.35">
      <c r="M203" s="59"/>
    </row>
    <row r="204" spans="13:13" ht="14.25" customHeight="1" x14ac:dyDescent="0.35">
      <c r="M204" s="59"/>
    </row>
    <row r="205" spans="13:13" ht="14.25" customHeight="1" x14ac:dyDescent="0.35">
      <c r="M205" s="59"/>
    </row>
    <row r="206" spans="13:13" ht="14.25" customHeight="1" x14ac:dyDescent="0.35">
      <c r="M206" s="59"/>
    </row>
    <row r="207" spans="13:13" ht="14.25" customHeight="1" x14ac:dyDescent="0.35">
      <c r="M207" s="59"/>
    </row>
    <row r="208" spans="13:13" ht="14.25" customHeight="1" x14ac:dyDescent="0.35">
      <c r="M208" s="59"/>
    </row>
    <row r="209" spans="13:13" ht="14.25" customHeight="1" x14ac:dyDescent="0.35">
      <c r="M209" s="59"/>
    </row>
    <row r="210" spans="13:13" ht="14.25" customHeight="1" x14ac:dyDescent="0.35">
      <c r="M210" s="59"/>
    </row>
    <row r="211" spans="13:13" ht="14.25" customHeight="1" x14ac:dyDescent="0.35">
      <c r="M211" s="59"/>
    </row>
    <row r="212" spans="13:13" ht="14.25" customHeight="1" x14ac:dyDescent="0.35">
      <c r="M212" s="59"/>
    </row>
    <row r="213" spans="13:13" ht="14.25" customHeight="1" x14ac:dyDescent="0.35">
      <c r="M213" s="59"/>
    </row>
    <row r="214" spans="13:13" ht="14.25" customHeight="1" x14ac:dyDescent="0.35">
      <c r="M214" s="59"/>
    </row>
    <row r="215" spans="13:13" ht="14.25" customHeight="1" x14ac:dyDescent="0.35">
      <c r="M215" s="59"/>
    </row>
    <row r="216" spans="13:13" ht="14.25" customHeight="1" x14ac:dyDescent="0.35">
      <c r="M216" s="59"/>
    </row>
    <row r="217" spans="13:13" ht="14.25" customHeight="1" x14ac:dyDescent="0.35">
      <c r="M217" s="59"/>
    </row>
    <row r="218" spans="13:13" ht="14.25" customHeight="1" x14ac:dyDescent="0.35">
      <c r="M218" s="59"/>
    </row>
    <row r="219" spans="13:13" ht="14.25" customHeight="1" x14ac:dyDescent="0.35">
      <c r="M219" s="59"/>
    </row>
    <row r="220" spans="13:13" ht="14.25" customHeight="1" x14ac:dyDescent="0.35">
      <c r="M220" s="59"/>
    </row>
    <row r="221" spans="13:13" ht="14.25" customHeight="1" x14ac:dyDescent="0.35">
      <c r="M221" s="59"/>
    </row>
    <row r="222" spans="13:13" ht="14.25" customHeight="1" x14ac:dyDescent="0.35">
      <c r="M222" s="59"/>
    </row>
    <row r="223" spans="13:13" ht="14.25" customHeight="1" x14ac:dyDescent="0.35">
      <c r="M223" s="59"/>
    </row>
    <row r="224" spans="13:13" ht="14.25" customHeight="1" x14ac:dyDescent="0.35">
      <c r="M224" s="59"/>
    </row>
    <row r="225" spans="13:13" ht="14.25" customHeight="1" x14ac:dyDescent="0.35">
      <c r="M225" s="59"/>
    </row>
    <row r="226" spans="13:13" ht="14.25" customHeight="1" x14ac:dyDescent="0.35">
      <c r="M226" s="59"/>
    </row>
    <row r="227" spans="13:13" ht="14.25" customHeight="1" x14ac:dyDescent="0.35">
      <c r="M227" s="59"/>
    </row>
    <row r="228" spans="13:13" ht="14.25" customHeight="1" x14ac:dyDescent="0.35">
      <c r="M228" s="59"/>
    </row>
    <row r="229" spans="13:13" ht="14.25" customHeight="1" x14ac:dyDescent="0.35">
      <c r="M229" s="59"/>
    </row>
    <row r="230" spans="13:13" ht="14.25" customHeight="1" x14ac:dyDescent="0.35">
      <c r="M230" s="59"/>
    </row>
    <row r="231" spans="13:13" ht="14.25" customHeight="1" x14ac:dyDescent="0.35">
      <c r="M231" s="59"/>
    </row>
    <row r="232" spans="13:13" ht="14.25" customHeight="1" x14ac:dyDescent="0.35">
      <c r="M232" s="59"/>
    </row>
    <row r="233" spans="13:13" ht="14.25" customHeight="1" x14ac:dyDescent="0.35">
      <c r="M233" s="59"/>
    </row>
    <row r="234" spans="13:13" ht="14.25" customHeight="1" x14ac:dyDescent="0.35">
      <c r="M234" s="59"/>
    </row>
    <row r="235" spans="13:13" ht="14.25" customHeight="1" x14ac:dyDescent="0.35">
      <c r="M235" s="59"/>
    </row>
    <row r="236" spans="13:13" ht="14.25" customHeight="1" x14ac:dyDescent="0.35">
      <c r="M236" s="59"/>
    </row>
    <row r="237" spans="13:13" ht="14.25" customHeight="1" x14ac:dyDescent="0.35">
      <c r="M237" s="59"/>
    </row>
    <row r="238" spans="13:13" ht="14.25" customHeight="1" x14ac:dyDescent="0.35">
      <c r="M238" s="59"/>
    </row>
    <row r="239" spans="13:13" ht="14.25" customHeight="1" x14ac:dyDescent="0.35">
      <c r="M239" s="59"/>
    </row>
    <row r="240" spans="13:13" ht="14.25" customHeight="1" x14ac:dyDescent="0.35">
      <c r="M240" s="59"/>
    </row>
    <row r="241" spans="13:13" ht="14.25" customHeight="1" x14ac:dyDescent="0.35">
      <c r="M241" s="59"/>
    </row>
    <row r="242" spans="13:13" ht="14.25" customHeight="1" x14ac:dyDescent="0.35">
      <c r="M242" s="59"/>
    </row>
    <row r="243" spans="13:13" ht="14.25" customHeight="1" x14ac:dyDescent="0.35">
      <c r="M243" s="59"/>
    </row>
    <row r="244" spans="13:13" ht="14.25" customHeight="1" x14ac:dyDescent="0.35">
      <c r="M244" s="59"/>
    </row>
    <row r="245" spans="13:13" ht="14.25" customHeight="1" x14ac:dyDescent="0.35">
      <c r="M245" s="59"/>
    </row>
    <row r="246" spans="13:13" ht="14.25" customHeight="1" x14ac:dyDescent="0.35">
      <c r="M246" s="59"/>
    </row>
    <row r="247" spans="13:13" ht="14.25" customHeight="1" x14ac:dyDescent="0.35">
      <c r="M247" s="59"/>
    </row>
    <row r="248" spans="13:13" ht="14.25" customHeight="1" x14ac:dyDescent="0.35">
      <c r="M248" s="59"/>
    </row>
    <row r="249" spans="13:13" ht="14.25" customHeight="1" x14ac:dyDescent="0.35">
      <c r="M249" s="59"/>
    </row>
    <row r="250" spans="13:13" ht="14.25" customHeight="1" x14ac:dyDescent="0.35">
      <c r="M250" s="59"/>
    </row>
    <row r="251" spans="13:13" ht="14.25" customHeight="1" x14ac:dyDescent="0.35">
      <c r="M251" s="59"/>
    </row>
    <row r="252" spans="13:13" ht="14.25" customHeight="1" x14ac:dyDescent="0.35">
      <c r="M252" s="59"/>
    </row>
    <row r="253" spans="13:13" ht="14.25" customHeight="1" x14ac:dyDescent="0.35">
      <c r="M253" s="59"/>
    </row>
    <row r="254" spans="13:13" ht="14.25" customHeight="1" x14ac:dyDescent="0.35">
      <c r="M254" s="59"/>
    </row>
    <row r="255" spans="13:13" ht="14.25" customHeight="1" x14ac:dyDescent="0.35">
      <c r="M255" s="59"/>
    </row>
    <row r="256" spans="13:13" ht="14.25" customHeight="1" x14ac:dyDescent="0.35">
      <c r="M256" s="59"/>
    </row>
    <row r="257" spans="13:13" ht="14.25" customHeight="1" x14ac:dyDescent="0.35">
      <c r="M257" s="59"/>
    </row>
    <row r="258" spans="13:13" ht="14.25" customHeight="1" x14ac:dyDescent="0.35">
      <c r="M258" s="59"/>
    </row>
    <row r="259" spans="13:13" ht="14.25" customHeight="1" x14ac:dyDescent="0.35">
      <c r="M259" s="59"/>
    </row>
    <row r="260" spans="13:13" ht="14.25" customHeight="1" x14ac:dyDescent="0.35">
      <c r="M260" s="59"/>
    </row>
    <row r="261" spans="13:13" ht="14.25" customHeight="1" x14ac:dyDescent="0.35">
      <c r="M261" s="59"/>
    </row>
    <row r="262" spans="13:13" ht="14.25" customHeight="1" x14ac:dyDescent="0.35">
      <c r="M262" s="59"/>
    </row>
    <row r="263" spans="13:13" ht="14.25" customHeight="1" x14ac:dyDescent="0.35">
      <c r="M263" s="59"/>
    </row>
    <row r="264" spans="13:13" ht="14.25" customHeight="1" x14ac:dyDescent="0.35">
      <c r="M264" s="59"/>
    </row>
    <row r="265" spans="13:13" ht="14.25" customHeight="1" x14ac:dyDescent="0.35">
      <c r="M265" s="59"/>
    </row>
    <row r="266" spans="13:13" ht="14.25" customHeight="1" x14ac:dyDescent="0.35">
      <c r="M266" s="59"/>
    </row>
    <row r="267" spans="13:13" ht="14.25" customHeight="1" x14ac:dyDescent="0.35">
      <c r="M267" s="59"/>
    </row>
    <row r="268" spans="13:13" ht="14.25" customHeight="1" x14ac:dyDescent="0.35">
      <c r="M268" s="59"/>
    </row>
    <row r="269" spans="13:13" ht="14.25" customHeight="1" x14ac:dyDescent="0.35">
      <c r="M269" s="59"/>
    </row>
    <row r="270" spans="13:13" ht="14.25" customHeight="1" x14ac:dyDescent="0.35">
      <c r="M270" s="59"/>
    </row>
    <row r="271" spans="13:13" ht="14.25" customHeight="1" x14ac:dyDescent="0.35">
      <c r="M271" s="59"/>
    </row>
    <row r="272" spans="13:13" ht="14.25" customHeight="1" x14ac:dyDescent="0.35">
      <c r="M272" s="59"/>
    </row>
    <row r="273" spans="13:13" ht="14.25" customHeight="1" x14ac:dyDescent="0.35">
      <c r="M273" s="59"/>
    </row>
    <row r="274" spans="13:13" ht="14.25" customHeight="1" x14ac:dyDescent="0.35">
      <c r="M274" s="59"/>
    </row>
    <row r="275" spans="13:13" ht="14.25" customHeight="1" x14ac:dyDescent="0.35">
      <c r="M275" s="59"/>
    </row>
    <row r="276" spans="13:13" ht="14.25" customHeight="1" x14ac:dyDescent="0.35">
      <c r="M276" s="59"/>
    </row>
    <row r="277" spans="13:13" ht="14.25" customHeight="1" x14ac:dyDescent="0.35">
      <c r="M277" s="59"/>
    </row>
    <row r="278" spans="13:13" ht="14.25" customHeight="1" x14ac:dyDescent="0.35">
      <c r="M278" s="59"/>
    </row>
    <row r="279" spans="13:13" ht="14.25" customHeight="1" x14ac:dyDescent="0.35">
      <c r="M279" s="59"/>
    </row>
    <row r="280" spans="13:13" ht="14.25" customHeight="1" x14ac:dyDescent="0.35">
      <c r="M280" s="59"/>
    </row>
    <row r="281" spans="13:13" ht="14.25" customHeight="1" x14ac:dyDescent="0.35">
      <c r="M281" s="59"/>
    </row>
    <row r="282" spans="13:13" ht="14.25" customHeight="1" x14ac:dyDescent="0.35">
      <c r="M282" s="59"/>
    </row>
    <row r="283" spans="13:13" ht="14.25" customHeight="1" x14ac:dyDescent="0.35">
      <c r="M283" s="59"/>
    </row>
    <row r="284" spans="13:13" ht="14.25" customHeight="1" x14ac:dyDescent="0.35">
      <c r="M284" s="59"/>
    </row>
    <row r="285" spans="13:13" ht="14.25" customHeight="1" x14ac:dyDescent="0.35">
      <c r="M285" s="59"/>
    </row>
    <row r="286" spans="13:13" ht="14.25" customHeight="1" x14ac:dyDescent="0.35">
      <c r="M286" s="59"/>
    </row>
    <row r="287" spans="13:13" ht="14.25" customHeight="1" x14ac:dyDescent="0.35">
      <c r="M287" s="59"/>
    </row>
    <row r="288" spans="13:13" ht="14.25" customHeight="1" x14ac:dyDescent="0.35">
      <c r="M288" s="59"/>
    </row>
    <row r="289" spans="13:13" ht="14.25" customHeight="1" x14ac:dyDescent="0.35">
      <c r="M289" s="59"/>
    </row>
    <row r="290" spans="13:13" ht="14.25" customHeight="1" x14ac:dyDescent="0.35">
      <c r="M290" s="59"/>
    </row>
    <row r="291" spans="13:13" ht="14.25" customHeight="1" x14ac:dyDescent="0.35">
      <c r="M291" s="59"/>
    </row>
    <row r="292" spans="13:13" ht="14.25" customHeight="1" x14ac:dyDescent="0.35">
      <c r="M292" s="59"/>
    </row>
    <row r="293" spans="13:13" ht="14.25" customHeight="1" x14ac:dyDescent="0.35">
      <c r="M293" s="59"/>
    </row>
    <row r="294" spans="13:13" ht="14.25" customHeight="1" x14ac:dyDescent="0.35">
      <c r="M294" s="59"/>
    </row>
    <row r="295" spans="13:13" ht="14.25" customHeight="1" x14ac:dyDescent="0.35">
      <c r="M295" s="59"/>
    </row>
    <row r="296" spans="13:13" ht="14.25" customHeight="1" x14ac:dyDescent="0.35">
      <c r="M296" s="59"/>
    </row>
    <row r="297" spans="13:13" ht="14.25" customHeight="1" x14ac:dyDescent="0.35">
      <c r="M297" s="59"/>
    </row>
    <row r="298" spans="13:13" ht="14.25" customHeight="1" x14ac:dyDescent="0.35">
      <c r="M298" s="59"/>
    </row>
    <row r="299" spans="13:13" ht="14.25" customHeight="1" x14ac:dyDescent="0.35">
      <c r="M299" s="59"/>
    </row>
    <row r="300" spans="13:13" ht="14.25" customHeight="1" x14ac:dyDescent="0.35">
      <c r="M300" s="59"/>
    </row>
    <row r="301" spans="13:13" ht="14.25" customHeight="1" x14ac:dyDescent="0.35">
      <c r="M301" s="59"/>
    </row>
    <row r="302" spans="13:13" ht="14.25" customHeight="1" x14ac:dyDescent="0.35">
      <c r="M302" s="59"/>
    </row>
    <row r="303" spans="13:13" ht="14.25" customHeight="1" x14ac:dyDescent="0.35">
      <c r="M303" s="59"/>
    </row>
    <row r="304" spans="13:13" ht="14.25" customHeight="1" x14ac:dyDescent="0.35">
      <c r="M304" s="59"/>
    </row>
    <row r="305" spans="13:13" ht="14.25" customHeight="1" x14ac:dyDescent="0.35">
      <c r="M305" s="59"/>
    </row>
    <row r="306" spans="13:13" ht="14.25" customHeight="1" x14ac:dyDescent="0.35">
      <c r="M306" s="59"/>
    </row>
    <row r="307" spans="13:13" ht="14.25" customHeight="1" x14ac:dyDescent="0.35">
      <c r="M307" s="59"/>
    </row>
    <row r="308" spans="13:13" ht="14.25" customHeight="1" x14ac:dyDescent="0.35">
      <c r="M308" s="59"/>
    </row>
    <row r="309" spans="13:13" ht="14.25" customHeight="1" x14ac:dyDescent="0.35">
      <c r="M309" s="59"/>
    </row>
    <row r="310" spans="13:13" ht="14.25" customHeight="1" x14ac:dyDescent="0.35">
      <c r="M310" s="59"/>
    </row>
    <row r="311" spans="13:13" ht="14.25" customHeight="1" x14ac:dyDescent="0.35">
      <c r="M311" s="59"/>
    </row>
    <row r="312" spans="13:13" ht="14.25" customHeight="1" x14ac:dyDescent="0.35">
      <c r="M312" s="59"/>
    </row>
    <row r="313" spans="13:13" ht="14.25" customHeight="1" x14ac:dyDescent="0.35">
      <c r="M313" s="59"/>
    </row>
    <row r="314" spans="13:13" ht="14.25" customHeight="1" x14ac:dyDescent="0.35">
      <c r="M314" s="59"/>
    </row>
    <row r="315" spans="13:13" ht="14.25" customHeight="1" x14ac:dyDescent="0.35">
      <c r="M315" s="59"/>
    </row>
    <row r="316" spans="13:13" ht="14.25" customHeight="1" x14ac:dyDescent="0.35">
      <c r="M316" s="59"/>
    </row>
    <row r="317" spans="13:13" ht="14.25" customHeight="1" x14ac:dyDescent="0.35">
      <c r="M317" s="59"/>
    </row>
    <row r="318" spans="13:13" ht="14.25" customHeight="1" x14ac:dyDescent="0.35">
      <c r="M318" s="59"/>
    </row>
    <row r="319" spans="13:13" ht="14.25" customHeight="1" x14ac:dyDescent="0.35">
      <c r="M319" s="59"/>
    </row>
    <row r="320" spans="13:13" ht="14.25" customHeight="1" x14ac:dyDescent="0.35">
      <c r="M320" s="59"/>
    </row>
    <row r="321" spans="13:13" ht="14.25" customHeight="1" x14ac:dyDescent="0.35">
      <c r="M321" s="59"/>
    </row>
    <row r="322" spans="13:13" ht="14.25" customHeight="1" x14ac:dyDescent="0.35">
      <c r="M322" s="59"/>
    </row>
    <row r="323" spans="13:13" ht="14.25" customHeight="1" x14ac:dyDescent="0.35">
      <c r="M323" s="59"/>
    </row>
    <row r="324" spans="13:13" ht="14.25" customHeight="1" x14ac:dyDescent="0.35">
      <c r="M324" s="59"/>
    </row>
    <row r="325" spans="13:13" ht="14.25" customHeight="1" x14ac:dyDescent="0.35">
      <c r="M325" s="59"/>
    </row>
    <row r="326" spans="13:13" ht="14.25" customHeight="1" x14ac:dyDescent="0.35">
      <c r="M326" s="59"/>
    </row>
    <row r="327" spans="13:13" ht="14.25" customHeight="1" x14ac:dyDescent="0.35">
      <c r="M327" s="59"/>
    </row>
    <row r="328" spans="13:13" ht="14.25" customHeight="1" x14ac:dyDescent="0.35">
      <c r="M328" s="59"/>
    </row>
    <row r="329" spans="13:13" ht="14.25" customHeight="1" x14ac:dyDescent="0.35">
      <c r="M329" s="59"/>
    </row>
    <row r="330" spans="13:13" ht="14.25" customHeight="1" x14ac:dyDescent="0.35">
      <c r="M330" s="59"/>
    </row>
    <row r="331" spans="13:13" ht="14.25" customHeight="1" x14ac:dyDescent="0.35">
      <c r="M331" s="59"/>
    </row>
    <row r="332" spans="13:13" ht="14.25" customHeight="1" x14ac:dyDescent="0.35">
      <c r="M332" s="59"/>
    </row>
    <row r="333" spans="13:13" ht="14.25" customHeight="1" x14ac:dyDescent="0.35">
      <c r="M333" s="59"/>
    </row>
    <row r="334" spans="13:13" ht="14.25" customHeight="1" x14ac:dyDescent="0.35">
      <c r="M334" s="59"/>
    </row>
    <row r="335" spans="13:13" ht="14.25" customHeight="1" x14ac:dyDescent="0.35">
      <c r="M335" s="59"/>
    </row>
    <row r="336" spans="13:13" ht="14.25" customHeight="1" x14ac:dyDescent="0.35">
      <c r="M336" s="59"/>
    </row>
    <row r="337" spans="13:13" ht="14.25" customHeight="1" x14ac:dyDescent="0.35">
      <c r="M337" s="59"/>
    </row>
    <row r="338" spans="13:13" ht="14.25" customHeight="1" x14ac:dyDescent="0.35">
      <c r="M338" s="59"/>
    </row>
    <row r="339" spans="13:13" ht="14.25" customHeight="1" x14ac:dyDescent="0.35">
      <c r="M339" s="59"/>
    </row>
    <row r="340" spans="13:13" ht="14.25" customHeight="1" x14ac:dyDescent="0.35">
      <c r="M340" s="59"/>
    </row>
    <row r="341" spans="13:13" ht="14.25" customHeight="1" x14ac:dyDescent="0.35">
      <c r="M341" s="59"/>
    </row>
    <row r="342" spans="13:13" ht="14.25" customHeight="1" x14ac:dyDescent="0.35">
      <c r="M342" s="59"/>
    </row>
    <row r="343" spans="13:13" ht="14.25" customHeight="1" x14ac:dyDescent="0.35">
      <c r="M343" s="59"/>
    </row>
    <row r="344" spans="13:13" ht="14.25" customHeight="1" x14ac:dyDescent="0.35">
      <c r="M344" s="59"/>
    </row>
    <row r="345" spans="13:13" ht="14.25" customHeight="1" x14ac:dyDescent="0.35">
      <c r="M345" s="59"/>
    </row>
    <row r="346" spans="13:13" ht="14.25" customHeight="1" x14ac:dyDescent="0.35">
      <c r="M346" s="59"/>
    </row>
    <row r="347" spans="13:13" ht="14.25" customHeight="1" x14ac:dyDescent="0.35">
      <c r="M347" s="59"/>
    </row>
    <row r="348" spans="13:13" ht="14.25" customHeight="1" x14ac:dyDescent="0.35">
      <c r="M348" s="59"/>
    </row>
    <row r="349" spans="13:13" ht="14.25" customHeight="1" x14ac:dyDescent="0.35">
      <c r="M349" s="59"/>
    </row>
    <row r="350" spans="13:13" ht="14.25" customHeight="1" x14ac:dyDescent="0.35">
      <c r="M350" s="59"/>
    </row>
    <row r="351" spans="13:13" ht="14.25" customHeight="1" x14ac:dyDescent="0.35">
      <c r="M351" s="59"/>
    </row>
    <row r="352" spans="13:13" ht="14.25" customHeight="1" x14ac:dyDescent="0.35">
      <c r="M352" s="59"/>
    </row>
    <row r="353" spans="13:13" ht="14.25" customHeight="1" x14ac:dyDescent="0.35">
      <c r="M353" s="59"/>
    </row>
    <row r="354" spans="13:13" ht="14.25" customHeight="1" x14ac:dyDescent="0.35">
      <c r="M354" s="59"/>
    </row>
    <row r="355" spans="13:13" ht="14.25" customHeight="1" x14ac:dyDescent="0.35">
      <c r="M355" s="59"/>
    </row>
    <row r="356" spans="13:13" ht="14.25" customHeight="1" x14ac:dyDescent="0.35">
      <c r="M356" s="59"/>
    </row>
    <row r="357" spans="13:13" ht="14.25" customHeight="1" x14ac:dyDescent="0.35">
      <c r="M357" s="59"/>
    </row>
    <row r="358" spans="13:13" ht="14.25" customHeight="1" x14ac:dyDescent="0.35">
      <c r="M358" s="59"/>
    </row>
    <row r="359" spans="13:13" ht="14.25" customHeight="1" x14ac:dyDescent="0.35">
      <c r="M359" s="59"/>
    </row>
    <row r="360" spans="13:13" ht="14.25" customHeight="1" x14ac:dyDescent="0.35">
      <c r="M360" s="59"/>
    </row>
    <row r="361" spans="13:13" ht="14.25" customHeight="1" x14ac:dyDescent="0.35">
      <c r="M361" s="59"/>
    </row>
    <row r="362" spans="13:13" ht="14.25" customHeight="1" x14ac:dyDescent="0.35">
      <c r="M362" s="59"/>
    </row>
    <row r="363" spans="13:13" ht="14.25" customHeight="1" x14ac:dyDescent="0.35">
      <c r="M363" s="59"/>
    </row>
    <row r="364" spans="13:13" ht="14.25" customHeight="1" x14ac:dyDescent="0.35">
      <c r="M364" s="59"/>
    </row>
    <row r="365" spans="13:13" ht="14.25" customHeight="1" x14ac:dyDescent="0.35">
      <c r="M365" s="59"/>
    </row>
    <row r="366" spans="13:13" ht="14.25" customHeight="1" x14ac:dyDescent="0.35">
      <c r="M366" s="59"/>
    </row>
    <row r="367" spans="13:13" ht="14.25" customHeight="1" x14ac:dyDescent="0.35">
      <c r="M367" s="59"/>
    </row>
    <row r="368" spans="13:13" ht="14.25" customHeight="1" x14ac:dyDescent="0.35">
      <c r="M368" s="59"/>
    </row>
    <row r="369" spans="13:13" ht="14.25" customHeight="1" x14ac:dyDescent="0.35">
      <c r="M369" s="59"/>
    </row>
    <row r="370" spans="13:13" ht="14.25" customHeight="1" x14ac:dyDescent="0.35">
      <c r="M370" s="59"/>
    </row>
    <row r="371" spans="13:13" ht="14.25" customHeight="1" x14ac:dyDescent="0.35">
      <c r="M371" s="59"/>
    </row>
    <row r="372" spans="13:13" ht="14.25" customHeight="1" x14ac:dyDescent="0.35">
      <c r="M372" s="59"/>
    </row>
    <row r="373" spans="13:13" ht="14.25" customHeight="1" x14ac:dyDescent="0.35">
      <c r="M373" s="59"/>
    </row>
    <row r="374" spans="13:13" ht="14.25" customHeight="1" x14ac:dyDescent="0.35">
      <c r="M374" s="59"/>
    </row>
    <row r="375" spans="13:13" ht="14.25" customHeight="1" x14ac:dyDescent="0.35">
      <c r="M375" s="59"/>
    </row>
    <row r="376" spans="13:13" ht="14.25" customHeight="1" x14ac:dyDescent="0.35">
      <c r="M376" s="59"/>
    </row>
    <row r="377" spans="13:13" ht="14.25" customHeight="1" x14ac:dyDescent="0.35">
      <c r="M377" s="59"/>
    </row>
    <row r="378" spans="13:13" ht="14.25" customHeight="1" x14ac:dyDescent="0.35">
      <c r="M378" s="59"/>
    </row>
    <row r="379" spans="13:13" ht="14.25" customHeight="1" x14ac:dyDescent="0.35">
      <c r="M379" s="59"/>
    </row>
    <row r="380" spans="13:13" ht="14.25" customHeight="1" x14ac:dyDescent="0.35">
      <c r="M380" s="59"/>
    </row>
    <row r="381" spans="13:13" ht="14.25" customHeight="1" x14ac:dyDescent="0.35">
      <c r="M381" s="59"/>
    </row>
    <row r="382" spans="13:13" ht="14.25" customHeight="1" x14ac:dyDescent="0.35">
      <c r="M382" s="59"/>
    </row>
    <row r="383" spans="13:13" ht="14.25" customHeight="1" x14ac:dyDescent="0.35">
      <c r="M383" s="59"/>
    </row>
    <row r="384" spans="13:13" ht="14.25" customHeight="1" x14ac:dyDescent="0.35">
      <c r="M384" s="59"/>
    </row>
    <row r="385" spans="13:13" ht="14.25" customHeight="1" x14ac:dyDescent="0.35">
      <c r="M385" s="59"/>
    </row>
    <row r="386" spans="13:13" ht="14.25" customHeight="1" x14ac:dyDescent="0.35">
      <c r="M386" s="59"/>
    </row>
    <row r="387" spans="13:13" ht="14.25" customHeight="1" x14ac:dyDescent="0.35">
      <c r="M387" s="59"/>
    </row>
    <row r="388" spans="13:13" ht="14.25" customHeight="1" x14ac:dyDescent="0.35">
      <c r="M388" s="59"/>
    </row>
    <row r="389" spans="13:13" ht="14.25" customHeight="1" x14ac:dyDescent="0.35">
      <c r="M389" s="59"/>
    </row>
    <row r="390" spans="13:13" ht="14.25" customHeight="1" x14ac:dyDescent="0.35">
      <c r="M390" s="59"/>
    </row>
    <row r="391" spans="13:13" ht="14.25" customHeight="1" x14ac:dyDescent="0.35">
      <c r="M391" s="59"/>
    </row>
    <row r="392" spans="13:13" ht="14.25" customHeight="1" x14ac:dyDescent="0.35">
      <c r="M392" s="59"/>
    </row>
    <row r="393" spans="13:13" ht="14.25" customHeight="1" x14ac:dyDescent="0.35">
      <c r="M393" s="59"/>
    </row>
    <row r="394" spans="13:13" ht="14.25" customHeight="1" x14ac:dyDescent="0.35">
      <c r="M394" s="59"/>
    </row>
    <row r="395" spans="13:13" ht="14.25" customHeight="1" x14ac:dyDescent="0.35">
      <c r="M395" s="59"/>
    </row>
    <row r="396" spans="13:13" ht="14.25" customHeight="1" x14ac:dyDescent="0.35">
      <c r="M396" s="59"/>
    </row>
    <row r="397" spans="13:13" ht="14.25" customHeight="1" x14ac:dyDescent="0.35">
      <c r="M397" s="59"/>
    </row>
    <row r="398" spans="13:13" ht="14.25" customHeight="1" x14ac:dyDescent="0.35">
      <c r="M398" s="59"/>
    </row>
    <row r="399" spans="13:13" ht="14.25" customHeight="1" x14ac:dyDescent="0.35">
      <c r="M399" s="59"/>
    </row>
    <row r="400" spans="13:13" ht="14.25" customHeight="1" x14ac:dyDescent="0.35">
      <c r="M400" s="59"/>
    </row>
    <row r="401" spans="13:13" ht="14.25" customHeight="1" x14ac:dyDescent="0.35">
      <c r="M401" s="59"/>
    </row>
    <row r="402" spans="13:13" ht="14.25" customHeight="1" x14ac:dyDescent="0.35">
      <c r="M402" s="59"/>
    </row>
    <row r="403" spans="13:13" ht="14.25" customHeight="1" x14ac:dyDescent="0.35">
      <c r="M403" s="59"/>
    </row>
    <row r="404" spans="13:13" ht="14.25" customHeight="1" x14ac:dyDescent="0.35">
      <c r="M404" s="59"/>
    </row>
    <row r="405" spans="13:13" ht="14.25" customHeight="1" x14ac:dyDescent="0.35">
      <c r="M405" s="59"/>
    </row>
    <row r="406" spans="13:13" ht="14.25" customHeight="1" x14ac:dyDescent="0.35">
      <c r="M406" s="59"/>
    </row>
    <row r="407" spans="13:13" ht="14.25" customHeight="1" x14ac:dyDescent="0.35">
      <c r="M407" s="59"/>
    </row>
    <row r="408" spans="13:13" ht="14.25" customHeight="1" x14ac:dyDescent="0.35">
      <c r="M408" s="59"/>
    </row>
    <row r="409" spans="13:13" ht="14.25" customHeight="1" x14ac:dyDescent="0.35">
      <c r="M409" s="59"/>
    </row>
    <row r="410" spans="13:13" ht="14.25" customHeight="1" x14ac:dyDescent="0.35">
      <c r="M410" s="59"/>
    </row>
    <row r="411" spans="13:13" ht="14.25" customHeight="1" x14ac:dyDescent="0.35">
      <c r="M411" s="59"/>
    </row>
    <row r="412" spans="13:13" ht="14.25" customHeight="1" x14ac:dyDescent="0.35">
      <c r="M412" s="59"/>
    </row>
    <row r="413" spans="13:13" ht="14.25" customHeight="1" x14ac:dyDescent="0.35">
      <c r="M413" s="59"/>
    </row>
    <row r="414" spans="13:13" ht="14.25" customHeight="1" x14ac:dyDescent="0.35">
      <c r="M414" s="59"/>
    </row>
    <row r="415" spans="13:13" ht="14.25" customHeight="1" x14ac:dyDescent="0.35">
      <c r="M415" s="59"/>
    </row>
    <row r="416" spans="13:13" ht="14.25" customHeight="1" x14ac:dyDescent="0.35">
      <c r="M416" s="59"/>
    </row>
    <row r="417" spans="13:13" ht="14.25" customHeight="1" x14ac:dyDescent="0.35">
      <c r="M417" s="59"/>
    </row>
    <row r="418" spans="13:13" ht="14.25" customHeight="1" x14ac:dyDescent="0.35">
      <c r="M418" s="59"/>
    </row>
    <row r="419" spans="13:13" ht="14.25" customHeight="1" x14ac:dyDescent="0.35">
      <c r="M419" s="59"/>
    </row>
    <row r="420" spans="13:13" ht="14.25" customHeight="1" x14ac:dyDescent="0.35">
      <c r="M420" s="59"/>
    </row>
    <row r="421" spans="13:13" ht="14.25" customHeight="1" x14ac:dyDescent="0.35">
      <c r="M421" s="59"/>
    </row>
    <row r="422" spans="13:13" ht="14.25" customHeight="1" x14ac:dyDescent="0.35">
      <c r="M422" s="59"/>
    </row>
    <row r="423" spans="13:13" ht="14.25" customHeight="1" x14ac:dyDescent="0.35">
      <c r="M423" s="59"/>
    </row>
    <row r="424" spans="13:13" ht="14.25" customHeight="1" x14ac:dyDescent="0.35">
      <c r="M424" s="59"/>
    </row>
    <row r="425" spans="13:13" ht="14.25" customHeight="1" x14ac:dyDescent="0.35">
      <c r="M425" s="59"/>
    </row>
    <row r="426" spans="13:13" ht="14.25" customHeight="1" x14ac:dyDescent="0.35">
      <c r="M426" s="59"/>
    </row>
    <row r="427" spans="13:13" ht="14.25" customHeight="1" x14ac:dyDescent="0.35">
      <c r="M427" s="59"/>
    </row>
    <row r="428" spans="13:13" ht="14.25" customHeight="1" x14ac:dyDescent="0.35">
      <c r="M428" s="59"/>
    </row>
    <row r="429" spans="13:13" ht="14.25" customHeight="1" x14ac:dyDescent="0.35">
      <c r="M429" s="59"/>
    </row>
    <row r="430" spans="13:13" ht="14.25" customHeight="1" x14ac:dyDescent="0.35">
      <c r="M430" s="59"/>
    </row>
    <row r="431" spans="13:13" ht="14.25" customHeight="1" x14ac:dyDescent="0.35">
      <c r="M431" s="59"/>
    </row>
    <row r="432" spans="13:13" ht="14.25" customHeight="1" x14ac:dyDescent="0.35">
      <c r="M432" s="59"/>
    </row>
    <row r="433" spans="13:13" ht="14.25" customHeight="1" x14ac:dyDescent="0.35">
      <c r="M433" s="59"/>
    </row>
    <row r="434" spans="13:13" ht="14.25" customHeight="1" x14ac:dyDescent="0.35">
      <c r="M434" s="59"/>
    </row>
    <row r="435" spans="13:13" ht="14.25" customHeight="1" x14ac:dyDescent="0.35">
      <c r="M435" s="59"/>
    </row>
    <row r="436" spans="13:13" ht="14.25" customHeight="1" x14ac:dyDescent="0.35">
      <c r="M436" s="59"/>
    </row>
    <row r="437" spans="13:13" ht="14.25" customHeight="1" x14ac:dyDescent="0.35">
      <c r="M437" s="59"/>
    </row>
    <row r="438" spans="13:13" ht="14.25" customHeight="1" x14ac:dyDescent="0.35">
      <c r="M438" s="59"/>
    </row>
    <row r="439" spans="13:13" ht="14.25" customHeight="1" x14ac:dyDescent="0.35">
      <c r="M439" s="59"/>
    </row>
    <row r="440" spans="13:13" ht="14.25" customHeight="1" x14ac:dyDescent="0.35">
      <c r="M440" s="59"/>
    </row>
    <row r="441" spans="13:13" ht="14.25" customHeight="1" x14ac:dyDescent="0.35">
      <c r="M441" s="59"/>
    </row>
    <row r="442" spans="13:13" ht="14.25" customHeight="1" x14ac:dyDescent="0.35">
      <c r="M442" s="59"/>
    </row>
    <row r="443" spans="13:13" ht="14.25" customHeight="1" x14ac:dyDescent="0.35">
      <c r="M443" s="59"/>
    </row>
    <row r="444" spans="13:13" ht="14.25" customHeight="1" x14ac:dyDescent="0.35">
      <c r="M444" s="59"/>
    </row>
    <row r="445" spans="13:13" ht="14.25" customHeight="1" x14ac:dyDescent="0.35">
      <c r="M445" s="59"/>
    </row>
    <row r="446" spans="13:13" ht="14.25" customHeight="1" x14ac:dyDescent="0.35">
      <c r="M446" s="59"/>
    </row>
    <row r="447" spans="13:13" ht="14.25" customHeight="1" x14ac:dyDescent="0.35">
      <c r="M447" s="59"/>
    </row>
    <row r="448" spans="13:13" ht="14.25" customHeight="1" x14ac:dyDescent="0.35">
      <c r="M448" s="59"/>
    </row>
    <row r="449" spans="13:13" ht="14.25" customHeight="1" x14ac:dyDescent="0.35">
      <c r="M449" s="59"/>
    </row>
    <row r="450" spans="13:13" ht="14.25" customHeight="1" x14ac:dyDescent="0.35">
      <c r="M450" s="59"/>
    </row>
    <row r="451" spans="13:13" ht="14.25" customHeight="1" x14ac:dyDescent="0.35">
      <c r="M451" s="59"/>
    </row>
    <row r="452" spans="13:13" ht="14.25" customHeight="1" x14ac:dyDescent="0.35">
      <c r="M452" s="59"/>
    </row>
    <row r="453" spans="13:13" ht="14.25" customHeight="1" x14ac:dyDescent="0.35">
      <c r="M453" s="59"/>
    </row>
    <row r="454" spans="13:13" ht="14.25" customHeight="1" x14ac:dyDescent="0.35">
      <c r="M454" s="59"/>
    </row>
    <row r="455" spans="13:13" ht="14.25" customHeight="1" x14ac:dyDescent="0.35">
      <c r="M455" s="59"/>
    </row>
    <row r="456" spans="13:13" ht="14.25" customHeight="1" x14ac:dyDescent="0.35">
      <c r="M456" s="59"/>
    </row>
    <row r="457" spans="13:13" ht="14.25" customHeight="1" x14ac:dyDescent="0.35">
      <c r="M457" s="59"/>
    </row>
    <row r="458" spans="13:13" ht="14.25" customHeight="1" x14ac:dyDescent="0.35">
      <c r="M458" s="59"/>
    </row>
    <row r="459" spans="13:13" ht="14.25" customHeight="1" x14ac:dyDescent="0.35">
      <c r="M459" s="59"/>
    </row>
    <row r="460" spans="13:13" ht="14.25" customHeight="1" x14ac:dyDescent="0.35">
      <c r="M460" s="59"/>
    </row>
    <row r="461" spans="13:13" ht="14.25" customHeight="1" x14ac:dyDescent="0.35">
      <c r="M461" s="59"/>
    </row>
    <row r="462" spans="13:13" ht="14.25" customHeight="1" x14ac:dyDescent="0.35">
      <c r="M462" s="59"/>
    </row>
    <row r="463" spans="13:13" ht="14.25" customHeight="1" x14ac:dyDescent="0.35">
      <c r="M463" s="59"/>
    </row>
    <row r="464" spans="13:13" ht="14.25" customHeight="1" x14ac:dyDescent="0.35">
      <c r="M464" s="59"/>
    </row>
    <row r="465" spans="13:13" ht="14.25" customHeight="1" x14ac:dyDescent="0.35">
      <c r="M465" s="59"/>
    </row>
    <row r="466" spans="13:13" ht="14.25" customHeight="1" x14ac:dyDescent="0.35">
      <c r="M466" s="59"/>
    </row>
    <row r="467" spans="13:13" ht="14.25" customHeight="1" x14ac:dyDescent="0.35">
      <c r="M467" s="59"/>
    </row>
    <row r="468" spans="13:13" ht="14.25" customHeight="1" x14ac:dyDescent="0.35">
      <c r="M468" s="59"/>
    </row>
    <row r="469" spans="13:13" ht="14.25" customHeight="1" x14ac:dyDescent="0.35">
      <c r="M469" s="59"/>
    </row>
    <row r="470" spans="13:13" ht="14.25" customHeight="1" x14ac:dyDescent="0.35">
      <c r="M470" s="59"/>
    </row>
    <row r="471" spans="13:13" ht="14.25" customHeight="1" x14ac:dyDescent="0.35">
      <c r="M471" s="59"/>
    </row>
    <row r="472" spans="13:13" ht="14.25" customHeight="1" x14ac:dyDescent="0.35">
      <c r="M472" s="59"/>
    </row>
    <row r="473" spans="13:13" ht="14.25" customHeight="1" x14ac:dyDescent="0.35">
      <c r="M473" s="59"/>
    </row>
    <row r="474" spans="13:13" ht="14.25" customHeight="1" x14ac:dyDescent="0.35">
      <c r="M474" s="59"/>
    </row>
    <row r="475" spans="13:13" ht="14.25" customHeight="1" x14ac:dyDescent="0.35">
      <c r="M475" s="59"/>
    </row>
    <row r="476" spans="13:13" ht="14.25" customHeight="1" x14ac:dyDescent="0.35">
      <c r="M476" s="59"/>
    </row>
    <row r="477" spans="13:13" ht="14.25" customHeight="1" x14ac:dyDescent="0.35">
      <c r="M477" s="59"/>
    </row>
    <row r="478" spans="13:13" ht="14.25" customHeight="1" x14ac:dyDescent="0.35">
      <c r="M478" s="59"/>
    </row>
    <row r="479" spans="13:13" ht="14.25" customHeight="1" x14ac:dyDescent="0.35">
      <c r="M479" s="59"/>
    </row>
    <row r="480" spans="13:13" ht="14.25" customHeight="1" x14ac:dyDescent="0.35">
      <c r="M480" s="59"/>
    </row>
    <row r="481" spans="13:13" ht="14.25" customHeight="1" x14ac:dyDescent="0.35">
      <c r="M481" s="59"/>
    </row>
    <row r="482" spans="13:13" ht="14.25" customHeight="1" x14ac:dyDescent="0.35">
      <c r="M482" s="59"/>
    </row>
    <row r="483" spans="13:13" ht="14.25" customHeight="1" x14ac:dyDescent="0.35">
      <c r="M483" s="59"/>
    </row>
    <row r="484" spans="13:13" ht="14.25" customHeight="1" x14ac:dyDescent="0.35">
      <c r="M484" s="59"/>
    </row>
    <row r="485" spans="13:13" ht="14.25" customHeight="1" x14ac:dyDescent="0.35">
      <c r="M485" s="59"/>
    </row>
    <row r="486" spans="13:13" ht="14.25" customHeight="1" x14ac:dyDescent="0.35">
      <c r="M486" s="59"/>
    </row>
    <row r="487" spans="13:13" ht="14.25" customHeight="1" x14ac:dyDescent="0.35">
      <c r="M487" s="59"/>
    </row>
    <row r="488" spans="13:13" ht="14.25" customHeight="1" x14ac:dyDescent="0.35">
      <c r="M488" s="59"/>
    </row>
    <row r="489" spans="13:13" ht="14.25" customHeight="1" x14ac:dyDescent="0.35">
      <c r="M489" s="59"/>
    </row>
    <row r="490" spans="13:13" ht="14.25" customHeight="1" x14ac:dyDescent="0.35">
      <c r="M490" s="59"/>
    </row>
    <row r="491" spans="13:13" ht="14.25" customHeight="1" x14ac:dyDescent="0.35">
      <c r="M491" s="59"/>
    </row>
    <row r="492" spans="13:13" ht="14.25" customHeight="1" x14ac:dyDescent="0.35">
      <c r="M492" s="59"/>
    </row>
    <row r="493" spans="13:13" ht="14.25" customHeight="1" x14ac:dyDescent="0.35">
      <c r="M493" s="59"/>
    </row>
    <row r="494" spans="13:13" ht="14.25" customHeight="1" x14ac:dyDescent="0.35">
      <c r="M494" s="59"/>
    </row>
    <row r="495" spans="13:13" ht="14.25" customHeight="1" x14ac:dyDescent="0.35">
      <c r="M495" s="59"/>
    </row>
    <row r="496" spans="13:13" ht="14.25" customHeight="1" x14ac:dyDescent="0.35">
      <c r="M496" s="59"/>
    </row>
    <row r="497" spans="13:13" ht="14.25" customHeight="1" x14ac:dyDescent="0.35">
      <c r="M497" s="59"/>
    </row>
    <row r="498" spans="13:13" ht="14.25" customHeight="1" x14ac:dyDescent="0.35">
      <c r="M498" s="59"/>
    </row>
    <row r="499" spans="13:13" ht="14.25" customHeight="1" x14ac:dyDescent="0.35">
      <c r="M499" s="59"/>
    </row>
    <row r="500" spans="13:13" ht="14.25" customHeight="1" x14ac:dyDescent="0.35">
      <c r="M500" s="59"/>
    </row>
    <row r="501" spans="13:13" ht="14.25" customHeight="1" x14ac:dyDescent="0.35">
      <c r="M501" s="59"/>
    </row>
    <row r="502" spans="13:13" ht="14.25" customHeight="1" x14ac:dyDescent="0.35">
      <c r="M502" s="59"/>
    </row>
    <row r="503" spans="13:13" ht="14.25" customHeight="1" x14ac:dyDescent="0.35">
      <c r="M503" s="59"/>
    </row>
    <row r="504" spans="13:13" ht="14.25" customHeight="1" x14ac:dyDescent="0.35">
      <c r="M504" s="59"/>
    </row>
    <row r="505" spans="13:13" ht="14.25" customHeight="1" x14ac:dyDescent="0.35">
      <c r="M505" s="59"/>
    </row>
    <row r="506" spans="13:13" ht="14.25" customHeight="1" x14ac:dyDescent="0.35">
      <c r="M506" s="59"/>
    </row>
    <row r="507" spans="13:13" ht="14.25" customHeight="1" x14ac:dyDescent="0.35">
      <c r="M507" s="59"/>
    </row>
    <row r="508" spans="13:13" ht="14.25" customHeight="1" x14ac:dyDescent="0.35">
      <c r="M508" s="59"/>
    </row>
    <row r="509" spans="13:13" ht="14.25" customHeight="1" x14ac:dyDescent="0.35">
      <c r="M509" s="59"/>
    </row>
    <row r="510" spans="13:13" ht="14.25" customHeight="1" x14ac:dyDescent="0.35">
      <c r="M510" s="59"/>
    </row>
    <row r="511" spans="13:13" ht="14.25" customHeight="1" x14ac:dyDescent="0.35">
      <c r="M511" s="59"/>
    </row>
    <row r="512" spans="13:13" ht="14.25" customHeight="1" x14ac:dyDescent="0.35">
      <c r="M512" s="59"/>
    </row>
    <row r="513" spans="13:13" ht="14.25" customHeight="1" x14ac:dyDescent="0.35">
      <c r="M513" s="59"/>
    </row>
    <row r="514" spans="13:13" ht="14.25" customHeight="1" x14ac:dyDescent="0.35">
      <c r="M514" s="59"/>
    </row>
    <row r="515" spans="13:13" ht="14.25" customHeight="1" x14ac:dyDescent="0.35">
      <c r="M515" s="59"/>
    </row>
    <row r="516" spans="13:13" ht="14.25" customHeight="1" x14ac:dyDescent="0.35">
      <c r="M516" s="59"/>
    </row>
    <row r="517" spans="13:13" ht="14.25" customHeight="1" x14ac:dyDescent="0.35">
      <c r="M517" s="59"/>
    </row>
    <row r="518" spans="13:13" ht="14.25" customHeight="1" x14ac:dyDescent="0.35">
      <c r="M518" s="59"/>
    </row>
    <row r="519" spans="13:13" ht="14.25" customHeight="1" x14ac:dyDescent="0.35">
      <c r="M519" s="59"/>
    </row>
    <row r="520" spans="13:13" ht="14.25" customHeight="1" x14ac:dyDescent="0.35">
      <c r="M520" s="59"/>
    </row>
    <row r="521" spans="13:13" ht="14.25" customHeight="1" x14ac:dyDescent="0.35">
      <c r="M521" s="59"/>
    </row>
    <row r="522" spans="13:13" ht="14.25" customHeight="1" x14ac:dyDescent="0.35">
      <c r="M522" s="59"/>
    </row>
    <row r="523" spans="13:13" ht="14.25" customHeight="1" x14ac:dyDescent="0.35">
      <c r="M523" s="59"/>
    </row>
    <row r="524" spans="13:13" ht="14.25" customHeight="1" x14ac:dyDescent="0.35">
      <c r="M524" s="59"/>
    </row>
    <row r="525" spans="13:13" ht="14.25" customHeight="1" x14ac:dyDescent="0.35">
      <c r="M525" s="59"/>
    </row>
    <row r="526" spans="13:13" ht="14.25" customHeight="1" x14ac:dyDescent="0.35">
      <c r="M526" s="59"/>
    </row>
    <row r="527" spans="13:13" ht="14.25" customHeight="1" x14ac:dyDescent="0.35">
      <c r="M527" s="59"/>
    </row>
    <row r="528" spans="13:13" ht="14.25" customHeight="1" x14ac:dyDescent="0.35">
      <c r="M528" s="59"/>
    </row>
    <row r="529" spans="13:13" ht="14.25" customHeight="1" x14ac:dyDescent="0.35">
      <c r="M529" s="59"/>
    </row>
    <row r="530" spans="13:13" ht="14.25" customHeight="1" x14ac:dyDescent="0.35">
      <c r="M530" s="59"/>
    </row>
    <row r="531" spans="13:13" ht="14.25" customHeight="1" x14ac:dyDescent="0.35">
      <c r="M531" s="59"/>
    </row>
    <row r="532" spans="13:13" ht="14.25" customHeight="1" x14ac:dyDescent="0.35">
      <c r="M532" s="59"/>
    </row>
    <row r="533" spans="13:13" ht="14.25" customHeight="1" x14ac:dyDescent="0.35">
      <c r="M533" s="59"/>
    </row>
    <row r="534" spans="13:13" ht="14.25" customHeight="1" x14ac:dyDescent="0.35">
      <c r="M534" s="59"/>
    </row>
    <row r="535" spans="13:13" ht="14.25" customHeight="1" x14ac:dyDescent="0.35">
      <c r="M535" s="59"/>
    </row>
    <row r="536" spans="13:13" ht="14.25" customHeight="1" x14ac:dyDescent="0.35">
      <c r="M536" s="59"/>
    </row>
    <row r="537" spans="13:13" ht="14.25" customHeight="1" x14ac:dyDescent="0.35">
      <c r="M537" s="59"/>
    </row>
    <row r="538" spans="13:13" ht="14.25" customHeight="1" x14ac:dyDescent="0.35">
      <c r="M538" s="59"/>
    </row>
    <row r="539" spans="13:13" ht="14.25" customHeight="1" x14ac:dyDescent="0.35">
      <c r="M539" s="59"/>
    </row>
    <row r="540" spans="13:13" ht="14.25" customHeight="1" x14ac:dyDescent="0.35">
      <c r="M540" s="59"/>
    </row>
    <row r="541" spans="13:13" ht="14.25" customHeight="1" x14ac:dyDescent="0.35">
      <c r="M541" s="59"/>
    </row>
    <row r="542" spans="13:13" ht="14.25" customHeight="1" x14ac:dyDescent="0.35">
      <c r="M542" s="59"/>
    </row>
    <row r="543" spans="13:13" ht="14.25" customHeight="1" x14ac:dyDescent="0.35">
      <c r="M543" s="59"/>
    </row>
    <row r="544" spans="13:13" ht="14.25" customHeight="1" x14ac:dyDescent="0.35">
      <c r="M544" s="59"/>
    </row>
    <row r="545" spans="13:13" ht="14.25" customHeight="1" x14ac:dyDescent="0.35">
      <c r="M545" s="59"/>
    </row>
    <row r="546" spans="13:13" ht="14.25" customHeight="1" x14ac:dyDescent="0.35">
      <c r="M546" s="59"/>
    </row>
    <row r="547" spans="13:13" ht="14.25" customHeight="1" x14ac:dyDescent="0.35">
      <c r="M547" s="59"/>
    </row>
    <row r="548" spans="13:13" ht="14.25" customHeight="1" x14ac:dyDescent="0.35">
      <c r="M548" s="59"/>
    </row>
    <row r="549" spans="13:13" ht="14.25" customHeight="1" x14ac:dyDescent="0.35">
      <c r="M549" s="59"/>
    </row>
    <row r="550" spans="13:13" ht="14.25" customHeight="1" x14ac:dyDescent="0.35">
      <c r="M550" s="59"/>
    </row>
    <row r="551" spans="13:13" ht="14.25" customHeight="1" x14ac:dyDescent="0.35">
      <c r="M551" s="59"/>
    </row>
    <row r="552" spans="13:13" ht="14.25" customHeight="1" x14ac:dyDescent="0.35">
      <c r="M552" s="59"/>
    </row>
    <row r="553" spans="13:13" ht="14.25" customHeight="1" x14ac:dyDescent="0.35">
      <c r="M553" s="59"/>
    </row>
    <row r="554" spans="13:13" ht="14.25" customHeight="1" x14ac:dyDescent="0.35">
      <c r="M554" s="59"/>
    </row>
    <row r="555" spans="13:13" ht="14.25" customHeight="1" x14ac:dyDescent="0.35">
      <c r="M555" s="59"/>
    </row>
    <row r="556" spans="13:13" ht="14.25" customHeight="1" x14ac:dyDescent="0.35">
      <c r="M556" s="59"/>
    </row>
    <row r="557" spans="13:13" ht="14.25" customHeight="1" x14ac:dyDescent="0.35">
      <c r="M557" s="59"/>
    </row>
    <row r="558" spans="13:13" ht="14.25" customHeight="1" x14ac:dyDescent="0.35">
      <c r="M558" s="59"/>
    </row>
    <row r="559" spans="13:13" ht="14.25" customHeight="1" x14ac:dyDescent="0.35">
      <c r="M559" s="59"/>
    </row>
    <row r="560" spans="13:13" ht="14.25" customHeight="1" x14ac:dyDescent="0.35">
      <c r="M560" s="59"/>
    </row>
    <row r="561" spans="13:13" ht="14.25" customHeight="1" x14ac:dyDescent="0.35">
      <c r="M561" s="59"/>
    </row>
    <row r="562" spans="13:13" ht="14.25" customHeight="1" x14ac:dyDescent="0.35">
      <c r="M562" s="59"/>
    </row>
    <row r="563" spans="13:13" ht="14.25" customHeight="1" x14ac:dyDescent="0.35">
      <c r="M563" s="59"/>
    </row>
    <row r="564" spans="13:13" ht="14.25" customHeight="1" x14ac:dyDescent="0.35">
      <c r="M564" s="59"/>
    </row>
    <row r="565" spans="13:13" ht="14.25" customHeight="1" x14ac:dyDescent="0.35">
      <c r="M565" s="59"/>
    </row>
    <row r="566" spans="13:13" ht="14.25" customHeight="1" x14ac:dyDescent="0.35">
      <c r="M566" s="59"/>
    </row>
    <row r="567" spans="13:13" ht="14.25" customHeight="1" x14ac:dyDescent="0.35">
      <c r="M567" s="59"/>
    </row>
    <row r="568" spans="13:13" ht="14.25" customHeight="1" x14ac:dyDescent="0.35">
      <c r="M568" s="59"/>
    </row>
    <row r="569" spans="13:13" ht="14.25" customHeight="1" x14ac:dyDescent="0.35">
      <c r="M569" s="59"/>
    </row>
    <row r="570" spans="13:13" ht="14.25" customHeight="1" x14ac:dyDescent="0.35">
      <c r="M570" s="59"/>
    </row>
    <row r="571" spans="13:13" ht="14.25" customHeight="1" x14ac:dyDescent="0.35">
      <c r="M571" s="59"/>
    </row>
    <row r="572" spans="13:13" ht="14.25" customHeight="1" x14ac:dyDescent="0.35">
      <c r="M572" s="59"/>
    </row>
    <row r="573" spans="13:13" ht="14.25" customHeight="1" x14ac:dyDescent="0.35">
      <c r="M573" s="59"/>
    </row>
    <row r="574" spans="13:13" ht="14.25" customHeight="1" x14ac:dyDescent="0.35">
      <c r="M574" s="59"/>
    </row>
    <row r="575" spans="13:13" ht="14.25" customHeight="1" x14ac:dyDescent="0.35">
      <c r="M575" s="59"/>
    </row>
    <row r="576" spans="13:13" ht="14.25" customHeight="1" x14ac:dyDescent="0.35">
      <c r="M576" s="59"/>
    </row>
    <row r="577" spans="13:13" ht="14.25" customHeight="1" x14ac:dyDescent="0.35">
      <c r="M577" s="59"/>
    </row>
    <row r="578" spans="13:13" ht="14.25" customHeight="1" x14ac:dyDescent="0.35">
      <c r="M578" s="59"/>
    </row>
    <row r="579" spans="13:13" ht="14.25" customHeight="1" x14ac:dyDescent="0.35">
      <c r="M579" s="59"/>
    </row>
    <row r="580" spans="13:13" ht="14.25" customHeight="1" x14ac:dyDescent="0.35">
      <c r="M580" s="59"/>
    </row>
    <row r="581" spans="13:13" ht="14.25" customHeight="1" x14ac:dyDescent="0.35">
      <c r="M581" s="59"/>
    </row>
    <row r="582" spans="13:13" ht="14.25" customHeight="1" x14ac:dyDescent="0.35">
      <c r="M582" s="59"/>
    </row>
    <row r="583" spans="13:13" ht="14.25" customHeight="1" x14ac:dyDescent="0.35">
      <c r="M583" s="59"/>
    </row>
    <row r="584" spans="13:13" ht="14.25" customHeight="1" x14ac:dyDescent="0.35">
      <c r="M584" s="59"/>
    </row>
    <row r="585" spans="13:13" ht="14.25" customHeight="1" x14ac:dyDescent="0.35">
      <c r="M585" s="59"/>
    </row>
    <row r="586" spans="13:13" ht="14.25" customHeight="1" x14ac:dyDescent="0.35">
      <c r="M586" s="59"/>
    </row>
    <row r="587" spans="13:13" ht="14.25" customHeight="1" x14ac:dyDescent="0.35">
      <c r="M587" s="59"/>
    </row>
    <row r="588" spans="13:13" ht="14.25" customHeight="1" x14ac:dyDescent="0.35">
      <c r="M588" s="59"/>
    </row>
    <row r="589" spans="13:13" ht="14.25" customHeight="1" x14ac:dyDescent="0.35">
      <c r="M589" s="59"/>
    </row>
    <row r="590" spans="13:13" ht="14.25" customHeight="1" x14ac:dyDescent="0.35">
      <c r="M590" s="59"/>
    </row>
    <row r="591" spans="13:13" ht="14.25" customHeight="1" x14ac:dyDescent="0.35">
      <c r="M591" s="59"/>
    </row>
    <row r="592" spans="13:13" ht="14.25" customHeight="1" x14ac:dyDescent="0.35">
      <c r="M592" s="59"/>
    </row>
    <row r="593" spans="13:13" ht="14.25" customHeight="1" x14ac:dyDescent="0.35">
      <c r="M593" s="59"/>
    </row>
    <row r="594" spans="13:13" ht="14.25" customHeight="1" x14ac:dyDescent="0.35">
      <c r="M594" s="59"/>
    </row>
    <row r="595" spans="13:13" ht="14.25" customHeight="1" x14ac:dyDescent="0.35">
      <c r="M595" s="59"/>
    </row>
    <row r="596" spans="13:13" ht="14.25" customHeight="1" x14ac:dyDescent="0.35">
      <c r="M596" s="59"/>
    </row>
    <row r="597" spans="13:13" ht="14.25" customHeight="1" x14ac:dyDescent="0.35">
      <c r="M597" s="59"/>
    </row>
    <row r="598" spans="13:13" ht="14.25" customHeight="1" x14ac:dyDescent="0.35">
      <c r="M598" s="59"/>
    </row>
    <row r="599" spans="13:13" ht="14.25" customHeight="1" x14ac:dyDescent="0.35">
      <c r="M599" s="59"/>
    </row>
    <row r="600" spans="13:13" ht="14.25" customHeight="1" x14ac:dyDescent="0.35">
      <c r="M600" s="59"/>
    </row>
    <row r="601" spans="13:13" ht="14.25" customHeight="1" x14ac:dyDescent="0.35">
      <c r="M601" s="59"/>
    </row>
    <row r="602" spans="13:13" ht="14.25" customHeight="1" x14ac:dyDescent="0.35">
      <c r="M602" s="59"/>
    </row>
    <row r="603" spans="13:13" ht="14.25" customHeight="1" x14ac:dyDescent="0.35">
      <c r="M603" s="59"/>
    </row>
    <row r="604" spans="13:13" ht="14.25" customHeight="1" x14ac:dyDescent="0.35">
      <c r="M604" s="59"/>
    </row>
    <row r="605" spans="13:13" ht="14.25" customHeight="1" x14ac:dyDescent="0.35">
      <c r="M605" s="59"/>
    </row>
    <row r="606" spans="13:13" ht="14.25" customHeight="1" x14ac:dyDescent="0.35">
      <c r="M606" s="59"/>
    </row>
    <row r="607" spans="13:13" ht="14.25" customHeight="1" x14ac:dyDescent="0.35">
      <c r="M607" s="59"/>
    </row>
    <row r="608" spans="13:13" ht="14.25" customHeight="1" x14ac:dyDescent="0.35">
      <c r="M608" s="59"/>
    </row>
    <row r="609" spans="13:13" ht="14.25" customHeight="1" x14ac:dyDescent="0.35">
      <c r="M609" s="59"/>
    </row>
    <row r="610" spans="13:13" ht="14.25" customHeight="1" x14ac:dyDescent="0.35">
      <c r="M610" s="59"/>
    </row>
    <row r="611" spans="13:13" ht="14.25" customHeight="1" x14ac:dyDescent="0.35">
      <c r="M611" s="59"/>
    </row>
    <row r="612" spans="13:13" ht="14.25" customHeight="1" x14ac:dyDescent="0.35">
      <c r="M612" s="59"/>
    </row>
    <row r="613" spans="13:13" ht="14.25" customHeight="1" x14ac:dyDescent="0.35">
      <c r="M613" s="59"/>
    </row>
    <row r="614" spans="13:13" ht="14.25" customHeight="1" x14ac:dyDescent="0.35">
      <c r="M614" s="59"/>
    </row>
    <row r="615" spans="13:13" ht="14.25" customHeight="1" x14ac:dyDescent="0.35">
      <c r="M615" s="59"/>
    </row>
    <row r="616" spans="13:13" ht="14.25" customHeight="1" x14ac:dyDescent="0.35">
      <c r="M616" s="59"/>
    </row>
    <row r="617" spans="13:13" ht="14.25" customHeight="1" x14ac:dyDescent="0.35">
      <c r="M617" s="59"/>
    </row>
    <row r="618" spans="13:13" ht="14.25" customHeight="1" x14ac:dyDescent="0.35">
      <c r="M618" s="59"/>
    </row>
    <row r="619" spans="13:13" ht="14.25" customHeight="1" x14ac:dyDescent="0.35">
      <c r="M619" s="59"/>
    </row>
    <row r="620" spans="13:13" ht="14.25" customHeight="1" x14ac:dyDescent="0.35">
      <c r="M620" s="59"/>
    </row>
    <row r="621" spans="13:13" ht="14.25" customHeight="1" x14ac:dyDescent="0.35">
      <c r="M621" s="59"/>
    </row>
    <row r="622" spans="13:13" ht="14.25" customHeight="1" x14ac:dyDescent="0.35">
      <c r="M622" s="59"/>
    </row>
    <row r="623" spans="13:13" ht="14.25" customHeight="1" x14ac:dyDescent="0.35">
      <c r="M623" s="59"/>
    </row>
    <row r="624" spans="13:13" ht="14.25" customHeight="1" x14ac:dyDescent="0.35">
      <c r="M624" s="59"/>
    </row>
    <row r="625" spans="13:13" ht="14.25" customHeight="1" x14ac:dyDescent="0.35">
      <c r="M625" s="59"/>
    </row>
    <row r="626" spans="13:13" ht="14.25" customHeight="1" x14ac:dyDescent="0.35">
      <c r="M626" s="59"/>
    </row>
    <row r="627" spans="13:13" ht="14.25" customHeight="1" x14ac:dyDescent="0.35">
      <c r="M627" s="59"/>
    </row>
    <row r="628" spans="13:13" ht="14.25" customHeight="1" x14ac:dyDescent="0.35">
      <c r="M628" s="59"/>
    </row>
    <row r="629" spans="13:13" ht="14.25" customHeight="1" x14ac:dyDescent="0.35">
      <c r="M629" s="59"/>
    </row>
    <row r="630" spans="13:13" ht="14.25" customHeight="1" x14ac:dyDescent="0.35">
      <c r="M630" s="59"/>
    </row>
    <row r="631" spans="13:13" ht="14.25" customHeight="1" x14ac:dyDescent="0.35">
      <c r="M631" s="59"/>
    </row>
    <row r="632" spans="13:13" ht="14.25" customHeight="1" x14ac:dyDescent="0.35">
      <c r="M632" s="59"/>
    </row>
    <row r="633" spans="13:13" ht="14.25" customHeight="1" x14ac:dyDescent="0.35">
      <c r="M633" s="59"/>
    </row>
    <row r="634" spans="13:13" ht="14.25" customHeight="1" x14ac:dyDescent="0.35">
      <c r="M634" s="59"/>
    </row>
    <row r="635" spans="13:13" ht="14.25" customHeight="1" x14ac:dyDescent="0.35">
      <c r="M635" s="59"/>
    </row>
    <row r="636" spans="13:13" ht="14.25" customHeight="1" x14ac:dyDescent="0.35">
      <c r="M636" s="59"/>
    </row>
    <row r="637" spans="13:13" ht="14.25" customHeight="1" x14ac:dyDescent="0.35">
      <c r="M637" s="59"/>
    </row>
    <row r="638" spans="13:13" ht="14.25" customHeight="1" x14ac:dyDescent="0.35">
      <c r="M638" s="59"/>
    </row>
    <row r="639" spans="13:13" ht="14.25" customHeight="1" x14ac:dyDescent="0.35">
      <c r="M639" s="59"/>
    </row>
    <row r="640" spans="13:13" ht="14.25" customHeight="1" x14ac:dyDescent="0.35">
      <c r="M640" s="59"/>
    </row>
    <row r="641" spans="13:13" ht="14.25" customHeight="1" x14ac:dyDescent="0.35">
      <c r="M641" s="59"/>
    </row>
    <row r="642" spans="13:13" ht="14.25" customHeight="1" x14ac:dyDescent="0.35">
      <c r="M642" s="59"/>
    </row>
    <row r="643" spans="13:13" ht="14.25" customHeight="1" x14ac:dyDescent="0.35">
      <c r="M643" s="59"/>
    </row>
    <row r="644" spans="13:13" ht="14.25" customHeight="1" x14ac:dyDescent="0.35">
      <c r="M644" s="59"/>
    </row>
    <row r="645" spans="13:13" ht="14.25" customHeight="1" x14ac:dyDescent="0.35">
      <c r="M645" s="59"/>
    </row>
    <row r="646" spans="13:13" ht="14.25" customHeight="1" x14ac:dyDescent="0.35">
      <c r="M646" s="59"/>
    </row>
    <row r="647" spans="13:13" ht="14.25" customHeight="1" x14ac:dyDescent="0.35">
      <c r="M647" s="59"/>
    </row>
    <row r="648" spans="13:13" ht="14.25" customHeight="1" x14ac:dyDescent="0.35">
      <c r="M648" s="59"/>
    </row>
    <row r="649" spans="13:13" ht="14.25" customHeight="1" x14ac:dyDescent="0.35">
      <c r="M649" s="59"/>
    </row>
    <row r="650" spans="13:13" ht="14.25" customHeight="1" x14ac:dyDescent="0.35">
      <c r="M650" s="59"/>
    </row>
    <row r="651" spans="13:13" ht="14.25" customHeight="1" x14ac:dyDescent="0.35">
      <c r="M651" s="59"/>
    </row>
    <row r="652" spans="13:13" ht="14.25" customHeight="1" x14ac:dyDescent="0.35">
      <c r="M652" s="59"/>
    </row>
    <row r="653" spans="13:13" ht="14.25" customHeight="1" x14ac:dyDescent="0.35">
      <c r="M653" s="59"/>
    </row>
    <row r="654" spans="13:13" ht="14.25" customHeight="1" x14ac:dyDescent="0.35">
      <c r="M654" s="59"/>
    </row>
    <row r="655" spans="13:13" ht="14.25" customHeight="1" x14ac:dyDescent="0.35">
      <c r="M655" s="59"/>
    </row>
    <row r="656" spans="13:13" ht="14.25" customHeight="1" x14ac:dyDescent="0.35">
      <c r="M656" s="59"/>
    </row>
    <row r="657" spans="13:13" ht="14.25" customHeight="1" x14ac:dyDescent="0.35">
      <c r="M657" s="59"/>
    </row>
    <row r="658" spans="13:13" ht="14.25" customHeight="1" x14ac:dyDescent="0.35">
      <c r="M658" s="59"/>
    </row>
    <row r="659" spans="13:13" ht="14.25" customHeight="1" x14ac:dyDescent="0.35">
      <c r="M659" s="59"/>
    </row>
    <row r="660" spans="13:13" ht="14.25" customHeight="1" x14ac:dyDescent="0.35">
      <c r="M660" s="59"/>
    </row>
    <row r="661" spans="13:13" ht="14.25" customHeight="1" x14ac:dyDescent="0.35">
      <c r="M661" s="59"/>
    </row>
    <row r="662" spans="13:13" ht="14.25" customHeight="1" x14ac:dyDescent="0.35">
      <c r="M662" s="59"/>
    </row>
    <row r="663" spans="13:13" ht="14.25" customHeight="1" x14ac:dyDescent="0.35">
      <c r="M663" s="59"/>
    </row>
    <row r="664" spans="13:13" ht="14.25" customHeight="1" x14ac:dyDescent="0.35">
      <c r="M664" s="59"/>
    </row>
    <row r="665" spans="13:13" ht="14.25" customHeight="1" x14ac:dyDescent="0.35">
      <c r="M665" s="59"/>
    </row>
    <row r="666" spans="13:13" ht="14.25" customHeight="1" x14ac:dyDescent="0.35">
      <c r="M666" s="59"/>
    </row>
    <row r="667" spans="13:13" ht="14.25" customHeight="1" x14ac:dyDescent="0.35">
      <c r="M667" s="59"/>
    </row>
    <row r="668" spans="13:13" ht="14.25" customHeight="1" x14ac:dyDescent="0.35">
      <c r="M668" s="59"/>
    </row>
    <row r="669" spans="13:13" ht="14.25" customHeight="1" x14ac:dyDescent="0.35">
      <c r="M669" s="59"/>
    </row>
    <row r="670" spans="13:13" ht="14.25" customHeight="1" x14ac:dyDescent="0.35">
      <c r="M670" s="59"/>
    </row>
    <row r="671" spans="13:13" ht="14.25" customHeight="1" x14ac:dyDescent="0.35">
      <c r="M671" s="59"/>
    </row>
    <row r="672" spans="13:13" ht="14.25" customHeight="1" x14ac:dyDescent="0.35">
      <c r="M672" s="59"/>
    </row>
    <row r="673" spans="13:13" ht="14.25" customHeight="1" x14ac:dyDescent="0.35">
      <c r="M673" s="59"/>
    </row>
    <row r="674" spans="13:13" ht="14.25" customHeight="1" x14ac:dyDescent="0.35">
      <c r="M674" s="59"/>
    </row>
    <row r="675" spans="13:13" ht="14.25" customHeight="1" x14ac:dyDescent="0.35">
      <c r="M675" s="59"/>
    </row>
    <row r="676" spans="13:13" ht="14.25" customHeight="1" x14ac:dyDescent="0.35">
      <c r="M676" s="59"/>
    </row>
    <row r="677" spans="13:13" ht="14.25" customHeight="1" x14ac:dyDescent="0.35">
      <c r="M677" s="59"/>
    </row>
    <row r="678" spans="13:13" ht="14.25" customHeight="1" x14ac:dyDescent="0.35">
      <c r="M678" s="59"/>
    </row>
    <row r="679" spans="13:13" ht="14.25" customHeight="1" x14ac:dyDescent="0.35">
      <c r="M679" s="59"/>
    </row>
    <row r="680" spans="13:13" ht="14.25" customHeight="1" x14ac:dyDescent="0.35">
      <c r="M680" s="59"/>
    </row>
    <row r="681" spans="13:13" ht="14.25" customHeight="1" x14ac:dyDescent="0.35">
      <c r="M681" s="59"/>
    </row>
    <row r="682" spans="13:13" ht="14.25" customHeight="1" x14ac:dyDescent="0.35">
      <c r="M682" s="59"/>
    </row>
    <row r="683" spans="13:13" ht="14.25" customHeight="1" x14ac:dyDescent="0.35">
      <c r="M683" s="59"/>
    </row>
    <row r="684" spans="13:13" ht="14.25" customHeight="1" x14ac:dyDescent="0.35">
      <c r="M684" s="59"/>
    </row>
    <row r="685" spans="13:13" ht="14.25" customHeight="1" x14ac:dyDescent="0.35">
      <c r="M685" s="59"/>
    </row>
    <row r="686" spans="13:13" ht="14.25" customHeight="1" x14ac:dyDescent="0.35">
      <c r="M686" s="59"/>
    </row>
    <row r="687" spans="13:13" ht="14.25" customHeight="1" x14ac:dyDescent="0.35">
      <c r="M687" s="59"/>
    </row>
    <row r="688" spans="13:13" ht="14.25" customHeight="1" x14ac:dyDescent="0.35">
      <c r="M688" s="59"/>
    </row>
    <row r="689" spans="13:13" ht="14.25" customHeight="1" x14ac:dyDescent="0.35">
      <c r="M689" s="59"/>
    </row>
    <row r="690" spans="13:13" ht="14.25" customHeight="1" x14ac:dyDescent="0.35">
      <c r="M690" s="59"/>
    </row>
    <row r="691" spans="13:13" ht="14.25" customHeight="1" x14ac:dyDescent="0.35">
      <c r="M691" s="59"/>
    </row>
    <row r="692" spans="13:13" ht="14.25" customHeight="1" x14ac:dyDescent="0.35">
      <c r="M692" s="59"/>
    </row>
    <row r="693" spans="13:13" ht="14.25" customHeight="1" x14ac:dyDescent="0.35">
      <c r="M693" s="59"/>
    </row>
    <row r="694" spans="13:13" ht="14.25" customHeight="1" x14ac:dyDescent="0.35">
      <c r="M694" s="59"/>
    </row>
    <row r="695" spans="13:13" ht="14.25" customHeight="1" x14ac:dyDescent="0.35">
      <c r="M695" s="59"/>
    </row>
    <row r="696" spans="13:13" ht="14.25" customHeight="1" x14ac:dyDescent="0.35">
      <c r="M696" s="59"/>
    </row>
    <row r="697" spans="13:13" ht="14.25" customHeight="1" x14ac:dyDescent="0.35">
      <c r="M697" s="59"/>
    </row>
    <row r="698" spans="13:13" ht="14.25" customHeight="1" x14ac:dyDescent="0.35">
      <c r="M698" s="59"/>
    </row>
    <row r="699" spans="13:13" ht="14.25" customHeight="1" x14ac:dyDescent="0.35">
      <c r="M699" s="59"/>
    </row>
    <row r="700" spans="13:13" ht="14.25" customHeight="1" x14ac:dyDescent="0.35">
      <c r="M700" s="59"/>
    </row>
    <row r="701" spans="13:13" ht="14.25" customHeight="1" x14ac:dyDescent="0.35">
      <c r="M701" s="59"/>
    </row>
    <row r="702" spans="13:13" ht="14.25" customHeight="1" x14ac:dyDescent="0.35">
      <c r="M702" s="59"/>
    </row>
    <row r="703" spans="13:13" ht="14.25" customHeight="1" x14ac:dyDescent="0.35">
      <c r="M703" s="59"/>
    </row>
    <row r="704" spans="13:13" ht="14.25" customHeight="1" x14ac:dyDescent="0.35">
      <c r="M704" s="59"/>
    </row>
    <row r="705" spans="13:13" ht="14.25" customHeight="1" x14ac:dyDescent="0.35">
      <c r="M705" s="59"/>
    </row>
    <row r="706" spans="13:13" ht="14.25" customHeight="1" x14ac:dyDescent="0.35">
      <c r="M706" s="59"/>
    </row>
    <row r="707" spans="13:13" ht="14.25" customHeight="1" x14ac:dyDescent="0.35">
      <c r="M707" s="59"/>
    </row>
    <row r="708" spans="13:13" ht="14.25" customHeight="1" x14ac:dyDescent="0.35">
      <c r="M708" s="59"/>
    </row>
    <row r="709" spans="13:13" ht="14.25" customHeight="1" x14ac:dyDescent="0.35">
      <c r="M709" s="59"/>
    </row>
    <row r="710" spans="13:13" ht="14.25" customHeight="1" x14ac:dyDescent="0.35">
      <c r="M710" s="59"/>
    </row>
    <row r="711" spans="13:13" ht="14.25" customHeight="1" x14ac:dyDescent="0.35">
      <c r="M711" s="59"/>
    </row>
    <row r="712" spans="13:13" ht="14.25" customHeight="1" x14ac:dyDescent="0.35">
      <c r="M712" s="59"/>
    </row>
    <row r="713" spans="13:13" ht="14.25" customHeight="1" x14ac:dyDescent="0.35">
      <c r="M713" s="59"/>
    </row>
    <row r="714" spans="13:13" ht="14.25" customHeight="1" x14ac:dyDescent="0.35">
      <c r="M714" s="59"/>
    </row>
    <row r="715" spans="13:13" ht="14.25" customHeight="1" x14ac:dyDescent="0.35">
      <c r="M715" s="59"/>
    </row>
    <row r="716" spans="13:13" ht="14.25" customHeight="1" x14ac:dyDescent="0.35">
      <c r="M716" s="59"/>
    </row>
    <row r="717" spans="13:13" ht="14.25" customHeight="1" x14ac:dyDescent="0.35">
      <c r="M717" s="59"/>
    </row>
    <row r="718" spans="13:13" ht="14.25" customHeight="1" x14ac:dyDescent="0.35">
      <c r="M718" s="59"/>
    </row>
    <row r="719" spans="13:13" ht="14.25" customHeight="1" x14ac:dyDescent="0.35">
      <c r="M719" s="59"/>
    </row>
    <row r="720" spans="13:13" ht="14.25" customHeight="1" x14ac:dyDescent="0.35">
      <c r="M720" s="59"/>
    </row>
    <row r="721" spans="13:13" ht="14.25" customHeight="1" x14ac:dyDescent="0.35">
      <c r="M721" s="59"/>
    </row>
    <row r="722" spans="13:13" ht="14.25" customHeight="1" x14ac:dyDescent="0.35">
      <c r="M722" s="59"/>
    </row>
    <row r="723" spans="13:13" ht="14.25" customHeight="1" x14ac:dyDescent="0.35">
      <c r="M723" s="59"/>
    </row>
    <row r="724" spans="13:13" ht="14.25" customHeight="1" x14ac:dyDescent="0.35">
      <c r="M724" s="59"/>
    </row>
    <row r="725" spans="13:13" ht="14.25" customHeight="1" x14ac:dyDescent="0.35">
      <c r="M725" s="59"/>
    </row>
    <row r="726" spans="13:13" ht="14.25" customHeight="1" x14ac:dyDescent="0.35">
      <c r="M726" s="59"/>
    </row>
    <row r="727" spans="13:13" ht="14.25" customHeight="1" x14ac:dyDescent="0.35">
      <c r="M727" s="59"/>
    </row>
    <row r="728" spans="13:13" ht="14.25" customHeight="1" x14ac:dyDescent="0.35">
      <c r="M728" s="59"/>
    </row>
    <row r="729" spans="13:13" ht="14.25" customHeight="1" x14ac:dyDescent="0.35">
      <c r="M729" s="59"/>
    </row>
    <row r="730" spans="13:13" ht="14.25" customHeight="1" x14ac:dyDescent="0.35">
      <c r="M730" s="59"/>
    </row>
    <row r="731" spans="13:13" ht="14.25" customHeight="1" x14ac:dyDescent="0.35">
      <c r="M731" s="59"/>
    </row>
    <row r="732" spans="13:13" ht="14.25" customHeight="1" x14ac:dyDescent="0.35">
      <c r="M732" s="59"/>
    </row>
    <row r="733" spans="13:13" ht="14.25" customHeight="1" x14ac:dyDescent="0.35">
      <c r="M733" s="59"/>
    </row>
    <row r="734" spans="13:13" ht="14.25" customHeight="1" x14ac:dyDescent="0.35">
      <c r="M734" s="59"/>
    </row>
    <row r="735" spans="13:13" ht="14.25" customHeight="1" x14ac:dyDescent="0.35">
      <c r="M735" s="59"/>
    </row>
    <row r="736" spans="13:13" ht="14.25" customHeight="1" x14ac:dyDescent="0.35">
      <c r="M736" s="59"/>
    </row>
    <row r="737" spans="13:13" ht="14.25" customHeight="1" x14ac:dyDescent="0.35">
      <c r="M737" s="59"/>
    </row>
    <row r="738" spans="13:13" ht="14.25" customHeight="1" x14ac:dyDescent="0.35">
      <c r="M738" s="59"/>
    </row>
    <row r="739" spans="13:13" ht="14.25" customHeight="1" x14ac:dyDescent="0.35">
      <c r="M739" s="59"/>
    </row>
    <row r="740" spans="13:13" ht="14.25" customHeight="1" x14ac:dyDescent="0.35">
      <c r="M740" s="59"/>
    </row>
    <row r="741" spans="13:13" ht="14.25" customHeight="1" x14ac:dyDescent="0.35">
      <c r="M741" s="59"/>
    </row>
    <row r="742" spans="13:13" ht="14.25" customHeight="1" x14ac:dyDescent="0.35">
      <c r="M742" s="59"/>
    </row>
    <row r="743" spans="13:13" ht="14.25" customHeight="1" x14ac:dyDescent="0.35">
      <c r="M743" s="59"/>
    </row>
    <row r="744" spans="13:13" ht="14.25" customHeight="1" x14ac:dyDescent="0.35">
      <c r="M744" s="59"/>
    </row>
    <row r="745" spans="13:13" ht="14.25" customHeight="1" x14ac:dyDescent="0.35">
      <c r="M745" s="59"/>
    </row>
    <row r="746" spans="13:13" ht="14.25" customHeight="1" x14ac:dyDescent="0.35">
      <c r="M746" s="59"/>
    </row>
    <row r="747" spans="13:13" ht="14.25" customHeight="1" x14ac:dyDescent="0.35">
      <c r="M747" s="59"/>
    </row>
    <row r="748" spans="13:13" ht="14.25" customHeight="1" x14ac:dyDescent="0.35">
      <c r="M748" s="59"/>
    </row>
    <row r="749" spans="13:13" ht="14.25" customHeight="1" x14ac:dyDescent="0.35">
      <c r="M749" s="59"/>
    </row>
    <row r="750" spans="13:13" ht="14.25" customHeight="1" x14ac:dyDescent="0.35">
      <c r="M750" s="59"/>
    </row>
    <row r="751" spans="13:13" ht="14.25" customHeight="1" x14ac:dyDescent="0.35">
      <c r="M751" s="59"/>
    </row>
    <row r="752" spans="13:13" ht="14.25" customHeight="1" x14ac:dyDescent="0.35">
      <c r="M752" s="59"/>
    </row>
    <row r="753" spans="13:13" ht="14.25" customHeight="1" x14ac:dyDescent="0.35">
      <c r="M753" s="59"/>
    </row>
    <row r="754" spans="13:13" ht="14.25" customHeight="1" x14ac:dyDescent="0.35">
      <c r="M754" s="59"/>
    </row>
    <row r="755" spans="13:13" ht="14.25" customHeight="1" x14ac:dyDescent="0.35">
      <c r="M755" s="59"/>
    </row>
    <row r="756" spans="13:13" ht="14.25" customHeight="1" x14ac:dyDescent="0.35">
      <c r="M756" s="59"/>
    </row>
    <row r="757" spans="13:13" ht="14.25" customHeight="1" x14ac:dyDescent="0.35">
      <c r="M757" s="59"/>
    </row>
    <row r="758" spans="13:13" ht="14.25" customHeight="1" x14ac:dyDescent="0.35">
      <c r="M758" s="59"/>
    </row>
    <row r="759" spans="13:13" ht="14.25" customHeight="1" x14ac:dyDescent="0.35">
      <c r="M759" s="59"/>
    </row>
    <row r="760" spans="13:13" ht="14.25" customHeight="1" x14ac:dyDescent="0.35">
      <c r="M760" s="59"/>
    </row>
    <row r="761" spans="13:13" ht="14.25" customHeight="1" x14ac:dyDescent="0.35">
      <c r="M761" s="59"/>
    </row>
    <row r="762" spans="13:13" ht="14.25" customHeight="1" x14ac:dyDescent="0.35">
      <c r="M762" s="59"/>
    </row>
    <row r="763" spans="13:13" ht="14.25" customHeight="1" x14ac:dyDescent="0.35">
      <c r="M763" s="59"/>
    </row>
    <row r="764" spans="13:13" ht="14.25" customHeight="1" x14ac:dyDescent="0.35">
      <c r="M764" s="59"/>
    </row>
    <row r="765" spans="13:13" ht="14.25" customHeight="1" x14ac:dyDescent="0.35">
      <c r="M765" s="59"/>
    </row>
    <row r="766" spans="13:13" ht="14.25" customHeight="1" x14ac:dyDescent="0.35">
      <c r="M766" s="59"/>
    </row>
    <row r="767" spans="13:13" ht="14.25" customHeight="1" x14ac:dyDescent="0.35">
      <c r="M767" s="59"/>
    </row>
    <row r="768" spans="13:13" ht="14.25" customHeight="1" x14ac:dyDescent="0.35">
      <c r="M768" s="59"/>
    </row>
    <row r="769" spans="13:13" ht="14.25" customHeight="1" x14ac:dyDescent="0.35">
      <c r="M769" s="59"/>
    </row>
    <row r="770" spans="13:13" ht="14.25" customHeight="1" x14ac:dyDescent="0.35">
      <c r="M770" s="59"/>
    </row>
    <row r="771" spans="13:13" ht="14.25" customHeight="1" x14ac:dyDescent="0.35">
      <c r="M771" s="59"/>
    </row>
    <row r="772" spans="13:13" ht="14.25" customHeight="1" x14ac:dyDescent="0.35">
      <c r="M772" s="59"/>
    </row>
    <row r="773" spans="13:13" ht="14.25" customHeight="1" x14ac:dyDescent="0.35">
      <c r="M773" s="59"/>
    </row>
    <row r="774" spans="13:13" ht="14.25" customHeight="1" x14ac:dyDescent="0.35">
      <c r="M774" s="59"/>
    </row>
    <row r="775" spans="13:13" ht="14.25" customHeight="1" x14ac:dyDescent="0.35">
      <c r="M775" s="59"/>
    </row>
    <row r="776" spans="13:13" ht="14.25" customHeight="1" x14ac:dyDescent="0.35">
      <c r="M776" s="59"/>
    </row>
    <row r="777" spans="13:13" ht="14.25" customHeight="1" x14ac:dyDescent="0.35">
      <c r="M777" s="59"/>
    </row>
    <row r="778" spans="13:13" ht="14.25" customHeight="1" x14ac:dyDescent="0.35">
      <c r="M778" s="59"/>
    </row>
    <row r="779" spans="13:13" ht="14.25" customHeight="1" x14ac:dyDescent="0.35">
      <c r="M779" s="59"/>
    </row>
    <row r="780" spans="13:13" ht="14.25" customHeight="1" x14ac:dyDescent="0.35">
      <c r="M780" s="59"/>
    </row>
    <row r="781" spans="13:13" ht="14.25" customHeight="1" x14ac:dyDescent="0.35">
      <c r="M781" s="59"/>
    </row>
    <row r="782" spans="13:13" ht="14.25" customHeight="1" x14ac:dyDescent="0.35">
      <c r="M782" s="59"/>
    </row>
    <row r="783" spans="13:13" ht="14.25" customHeight="1" x14ac:dyDescent="0.35">
      <c r="M783" s="59"/>
    </row>
    <row r="784" spans="13:13" ht="14.25" customHeight="1" x14ac:dyDescent="0.35">
      <c r="M784" s="59"/>
    </row>
    <row r="785" spans="13:13" ht="14.25" customHeight="1" x14ac:dyDescent="0.35">
      <c r="M785" s="59"/>
    </row>
    <row r="786" spans="13:13" ht="14.25" customHeight="1" x14ac:dyDescent="0.35">
      <c r="M786" s="59"/>
    </row>
    <row r="787" spans="13:13" ht="14.25" customHeight="1" x14ac:dyDescent="0.35">
      <c r="M787" s="59"/>
    </row>
    <row r="788" spans="13:13" ht="14.25" customHeight="1" x14ac:dyDescent="0.35">
      <c r="M788" s="59"/>
    </row>
    <row r="789" spans="13:13" ht="14.25" customHeight="1" x14ac:dyDescent="0.35">
      <c r="M789" s="59"/>
    </row>
    <row r="790" spans="13:13" ht="14.25" customHeight="1" x14ac:dyDescent="0.35">
      <c r="M790" s="59"/>
    </row>
    <row r="791" spans="13:13" ht="14.25" customHeight="1" x14ac:dyDescent="0.35">
      <c r="M791" s="59"/>
    </row>
    <row r="792" spans="13:13" ht="14.25" customHeight="1" x14ac:dyDescent="0.35">
      <c r="M792" s="59"/>
    </row>
    <row r="793" spans="13:13" ht="14.25" customHeight="1" x14ac:dyDescent="0.35">
      <c r="M793" s="59"/>
    </row>
    <row r="794" spans="13:13" ht="14.25" customHeight="1" x14ac:dyDescent="0.35">
      <c r="M794" s="59"/>
    </row>
    <row r="795" spans="13:13" ht="14.25" customHeight="1" x14ac:dyDescent="0.35">
      <c r="M795" s="59"/>
    </row>
    <row r="796" spans="13:13" ht="14.25" customHeight="1" x14ac:dyDescent="0.35">
      <c r="M796" s="59"/>
    </row>
    <row r="797" spans="13:13" ht="14.25" customHeight="1" x14ac:dyDescent="0.35">
      <c r="M797" s="59"/>
    </row>
    <row r="798" spans="13:13" ht="14.25" customHeight="1" x14ac:dyDescent="0.35">
      <c r="M798" s="59"/>
    </row>
    <row r="799" spans="13:13" ht="14.25" customHeight="1" x14ac:dyDescent="0.35">
      <c r="M799" s="59"/>
    </row>
    <row r="800" spans="13:13" ht="14.25" customHeight="1" x14ac:dyDescent="0.35">
      <c r="M800" s="59"/>
    </row>
    <row r="801" spans="13:13" ht="14.25" customHeight="1" x14ac:dyDescent="0.35">
      <c r="M801" s="59"/>
    </row>
    <row r="802" spans="13:13" ht="14.25" customHeight="1" x14ac:dyDescent="0.35">
      <c r="M802" s="59"/>
    </row>
    <row r="803" spans="13:13" ht="14.25" customHeight="1" x14ac:dyDescent="0.35">
      <c r="M803" s="59"/>
    </row>
    <row r="804" spans="13:13" ht="14.25" customHeight="1" x14ac:dyDescent="0.35">
      <c r="M804" s="59"/>
    </row>
    <row r="805" spans="13:13" ht="14.25" customHeight="1" x14ac:dyDescent="0.35">
      <c r="M805" s="59"/>
    </row>
    <row r="806" spans="13:13" ht="14.25" customHeight="1" x14ac:dyDescent="0.35">
      <c r="M806" s="59"/>
    </row>
    <row r="807" spans="13:13" ht="14.25" customHeight="1" x14ac:dyDescent="0.35">
      <c r="M807" s="59"/>
    </row>
    <row r="808" spans="13:13" ht="14.25" customHeight="1" x14ac:dyDescent="0.35">
      <c r="M808" s="59"/>
    </row>
    <row r="809" spans="13:13" ht="14.25" customHeight="1" x14ac:dyDescent="0.35">
      <c r="M809" s="59"/>
    </row>
    <row r="810" spans="13:13" ht="14.25" customHeight="1" x14ac:dyDescent="0.35">
      <c r="M810" s="59"/>
    </row>
    <row r="811" spans="13:13" ht="14.25" customHeight="1" x14ac:dyDescent="0.35">
      <c r="M811" s="59"/>
    </row>
    <row r="812" spans="13:13" ht="14.25" customHeight="1" x14ac:dyDescent="0.35">
      <c r="M812" s="59"/>
    </row>
    <row r="813" spans="13:13" ht="14.25" customHeight="1" x14ac:dyDescent="0.35">
      <c r="M813" s="59"/>
    </row>
    <row r="814" spans="13:13" ht="14.25" customHeight="1" x14ac:dyDescent="0.35">
      <c r="M814" s="59"/>
    </row>
    <row r="815" spans="13:13" ht="14.25" customHeight="1" x14ac:dyDescent="0.35">
      <c r="M815" s="59"/>
    </row>
    <row r="816" spans="13:13" ht="14.25" customHeight="1" x14ac:dyDescent="0.35">
      <c r="M816" s="59"/>
    </row>
    <row r="817" spans="13:13" ht="14.25" customHeight="1" x14ac:dyDescent="0.35">
      <c r="M817" s="59"/>
    </row>
    <row r="818" spans="13:13" ht="14.25" customHeight="1" x14ac:dyDescent="0.35">
      <c r="M818" s="59"/>
    </row>
    <row r="819" spans="13:13" ht="14.25" customHeight="1" x14ac:dyDescent="0.35">
      <c r="M819" s="59"/>
    </row>
    <row r="820" spans="13:13" ht="14.25" customHeight="1" x14ac:dyDescent="0.35">
      <c r="M820" s="59"/>
    </row>
    <row r="821" spans="13:13" ht="14.25" customHeight="1" x14ac:dyDescent="0.35">
      <c r="M821" s="59"/>
    </row>
    <row r="822" spans="13:13" ht="14.25" customHeight="1" x14ac:dyDescent="0.35">
      <c r="M822" s="59"/>
    </row>
    <row r="823" spans="13:13" ht="14.25" customHeight="1" x14ac:dyDescent="0.35">
      <c r="M823" s="59"/>
    </row>
    <row r="824" spans="13:13" ht="14.25" customHeight="1" x14ac:dyDescent="0.35">
      <c r="M824" s="59"/>
    </row>
    <row r="825" spans="13:13" ht="14.25" customHeight="1" x14ac:dyDescent="0.35">
      <c r="M825" s="59"/>
    </row>
    <row r="826" spans="13:13" ht="14.25" customHeight="1" x14ac:dyDescent="0.35">
      <c r="M826" s="59"/>
    </row>
    <row r="827" spans="13:13" ht="14.25" customHeight="1" x14ac:dyDescent="0.35">
      <c r="M827" s="59"/>
    </row>
    <row r="828" spans="13:13" ht="14.25" customHeight="1" x14ac:dyDescent="0.35">
      <c r="M828" s="59"/>
    </row>
    <row r="829" spans="13:13" ht="14.25" customHeight="1" x14ac:dyDescent="0.35">
      <c r="M829" s="59"/>
    </row>
    <row r="830" spans="13:13" ht="14.25" customHeight="1" x14ac:dyDescent="0.35">
      <c r="M830" s="59"/>
    </row>
    <row r="831" spans="13:13" ht="14.25" customHeight="1" x14ac:dyDescent="0.35">
      <c r="M831" s="59"/>
    </row>
    <row r="832" spans="13:13" ht="14.25" customHeight="1" x14ac:dyDescent="0.35">
      <c r="M832" s="59"/>
    </row>
    <row r="833" spans="13:13" ht="14.25" customHeight="1" x14ac:dyDescent="0.35">
      <c r="M833" s="59"/>
    </row>
    <row r="834" spans="13:13" ht="14.25" customHeight="1" x14ac:dyDescent="0.35">
      <c r="M834" s="59"/>
    </row>
    <row r="835" spans="13:13" ht="14.25" customHeight="1" x14ac:dyDescent="0.35">
      <c r="M835" s="59"/>
    </row>
    <row r="836" spans="13:13" ht="14.25" customHeight="1" x14ac:dyDescent="0.35">
      <c r="M836" s="59"/>
    </row>
    <row r="837" spans="13:13" ht="14.25" customHeight="1" x14ac:dyDescent="0.35">
      <c r="M837" s="59"/>
    </row>
    <row r="838" spans="13:13" ht="14.25" customHeight="1" x14ac:dyDescent="0.35">
      <c r="M838" s="59"/>
    </row>
    <row r="839" spans="13:13" ht="14.25" customHeight="1" x14ac:dyDescent="0.35">
      <c r="M839" s="59"/>
    </row>
    <row r="840" spans="13:13" ht="14.25" customHeight="1" x14ac:dyDescent="0.35">
      <c r="M840" s="59"/>
    </row>
    <row r="841" spans="13:13" ht="14.25" customHeight="1" x14ac:dyDescent="0.35">
      <c r="M841" s="59"/>
    </row>
    <row r="842" spans="13:13" ht="14.25" customHeight="1" x14ac:dyDescent="0.35">
      <c r="M842" s="59"/>
    </row>
    <row r="843" spans="13:13" ht="14.25" customHeight="1" x14ac:dyDescent="0.35">
      <c r="M843" s="59"/>
    </row>
    <row r="844" spans="13:13" ht="14.25" customHeight="1" x14ac:dyDescent="0.35">
      <c r="M844" s="59"/>
    </row>
    <row r="845" spans="13:13" ht="14.25" customHeight="1" x14ac:dyDescent="0.35">
      <c r="M845" s="59"/>
    </row>
    <row r="846" spans="13:13" ht="14.25" customHeight="1" x14ac:dyDescent="0.35">
      <c r="M846" s="59"/>
    </row>
    <row r="847" spans="13:13" ht="14.25" customHeight="1" x14ac:dyDescent="0.35">
      <c r="M847" s="59"/>
    </row>
    <row r="848" spans="13:13" ht="14.25" customHeight="1" x14ac:dyDescent="0.35">
      <c r="M848" s="59"/>
    </row>
    <row r="849" spans="13:13" ht="14.25" customHeight="1" x14ac:dyDescent="0.35">
      <c r="M849" s="59"/>
    </row>
    <row r="850" spans="13:13" ht="14.25" customHeight="1" x14ac:dyDescent="0.35">
      <c r="M850" s="59"/>
    </row>
    <row r="851" spans="13:13" ht="14.25" customHeight="1" x14ac:dyDescent="0.35">
      <c r="M851" s="59"/>
    </row>
    <row r="852" spans="13:13" ht="14.25" customHeight="1" x14ac:dyDescent="0.35">
      <c r="M852" s="59"/>
    </row>
    <row r="853" spans="13:13" ht="14.25" customHeight="1" x14ac:dyDescent="0.35">
      <c r="M853" s="59"/>
    </row>
    <row r="854" spans="13:13" ht="14.25" customHeight="1" x14ac:dyDescent="0.35">
      <c r="M854" s="59"/>
    </row>
    <row r="855" spans="13:13" ht="14.25" customHeight="1" x14ac:dyDescent="0.35">
      <c r="M855" s="59"/>
    </row>
    <row r="856" spans="13:13" ht="14.25" customHeight="1" x14ac:dyDescent="0.35">
      <c r="M856" s="59"/>
    </row>
    <row r="857" spans="13:13" ht="14.25" customHeight="1" x14ac:dyDescent="0.35">
      <c r="M857" s="59"/>
    </row>
    <row r="858" spans="13:13" ht="14.25" customHeight="1" x14ac:dyDescent="0.35">
      <c r="M858" s="59"/>
    </row>
    <row r="859" spans="13:13" ht="14.25" customHeight="1" x14ac:dyDescent="0.35">
      <c r="M859" s="59"/>
    </row>
    <row r="860" spans="13:13" ht="14.25" customHeight="1" x14ac:dyDescent="0.35">
      <c r="M860" s="59"/>
    </row>
    <row r="861" spans="13:13" ht="14.25" customHeight="1" x14ac:dyDescent="0.35">
      <c r="M861" s="59"/>
    </row>
    <row r="862" spans="13:13" ht="14.25" customHeight="1" x14ac:dyDescent="0.35">
      <c r="M862" s="59"/>
    </row>
    <row r="863" spans="13:13" ht="14.25" customHeight="1" x14ac:dyDescent="0.35">
      <c r="M863" s="59"/>
    </row>
    <row r="864" spans="13:13" ht="14.25" customHeight="1" x14ac:dyDescent="0.35">
      <c r="M864" s="59"/>
    </row>
    <row r="865" spans="13:13" ht="14.25" customHeight="1" x14ac:dyDescent="0.35">
      <c r="M865" s="59"/>
    </row>
    <row r="866" spans="13:13" ht="14.25" customHeight="1" x14ac:dyDescent="0.35">
      <c r="M866" s="59"/>
    </row>
    <row r="867" spans="13:13" ht="14.25" customHeight="1" x14ac:dyDescent="0.35">
      <c r="M867" s="59"/>
    </row>
    <row r="868" spans="13:13" ht="14.25" customHeight="1" x14ac:dyDescent="0.35">
      <c r="M868" s="59"/>
    </row>
    <row r="869" spans="13:13" ht="14.25" customHeight="1" x14ac:dyDescent="0.35">
      <c r="M869" s="59"/>
    </row>
    <row r="870" spans="13:13" ht="14.25" customHeight="1" x14ac:dyDescent="0.35">
      <c r="M870" s="59"/>
    </row>
    <row r="871" spans="13:13" ht="14.25" customHeight="1" x14ac:dyDescent="0.35">
      <c r="M871" s="59"/>
    </row>
    <row r="872" spans="13:13" ht="14.25" customHeight="1" x14ac:dyDescent="0.35">
      <c r="M872" s="59"/>
    </row>
    <row r="873" spans="13:13" ht="14.25" customHeight="1" x14ac:dyDescent="0.35">
      <c r="M873" s="59"/>
    </row>
    <row r="874" spans="13:13" ht="14.25" customHeight="1" x14ac:dyDescent="0.35">
      <c r="M874" s="59"/>
    </row>
    <row r="875" spans="13:13" ht="14.25" customHeight="1" x14ac:dyDescent="0.35">
      <c r="M875" s="59"/>
    </row>
    <row r="876" spans="13:13" ht="14.25" customHeight="1" x14ac:dyDescent="0.35">
      <c r="M876" s="59"/>
    </row>
    <row r="877" spans="13:13" ht="14.25" customHeight="1" x14ac:dyDescent="0.35">
      <c r="M877" s="59"/>
    </row>
    <row r="878" spans="13:13" ht="14.25" customHeight="1" x14ac:dyDescent="0.35">
      <c r="M878" s="59"/>
    </row>
    <row r="879" spans="13:13" ht="14.25" customHeight="1" x14ac:dyDescent="0.35">
      <c r="M879" s="59"/>
    </row>
    <row r="880" spans="13:13" ht="14.25" customHeight="1" x14ac:dyDescent="0.35">
      <c r="M880" s="59"/>
    </row>
    <row r="881" spans="13:13" ht="14.25" customHeight="1" x14ac:dyDescent="0.35">
      <c r="M881" s="59"/>
    </row>
    <row r="882" spans="13:13" ht="14.25" customHeight="1" x14ac:dyDescent="0.35">
      <c r="M882" s="59"/>
    </row>
    <row r="883" spans="13:13" ht="14.25" customHeight="1" x14ac:dyDescent="0.35">
      <c r="M883" s="59"/>
    </row>
    <row r="884" spans="13:13" ht="14.25" customHeight="1" x14ac:dyDescent="0.35">
      <c r="M884" s="59"/>
    </row>
    <row r="885" spans="13:13" ht="14.25" customHeight="1" x14ac:dyDescent="0.35">
      <c r="M885" s="59"/>
    </row>
    <row r="886" spans="13:13" ht="14.25" customHeight="1" x14ac:dyDescent="0.35">
      <c r="M886" s="59"/>
    </row>
    <row r="887" spans="13:13" ht="14.25" customHeight="1" x14ac:dyDescent="0.35">
      <c r="M887" s="59"/>
    </row>
    <row r="888" spans="13:13" ht="14.25" customHeight="1" x14ac:dyDescent="0.35">
      <c r="M888" s="59"/>
    </row>
    <row r="889" spans="13:13" ht="14.25" customHeight="1" x14ac:dyDescent="0.35">
      <c r="M889" s="59"/>
    </row>
    <row r="890" spans="13:13" ht="14.25" customHeight="1" x14ac:dyDescent="0.35">
      <c r="M890" s="59"/>
    </row>
    <row r="891" spans="13:13" ht="14.25" customHeight="1" x14ac:dyDescent="0.35">
      <c r="M891" s="59"/>
    </row>
    <row r="892" spans="13:13" ht="14.25" customHeight="1" x14ac:dyDescent="0.35">
      <c r="M892" s="59"/>
    </row>
    <row r="893" spans="13:13" ht="14.25" customHeight="1" x14ac:dyDescent="0.35">
      <c r="M893" s="59"/>
    </row>
    <row r="894" spans="13:13" ht="14.25" customHeight="1" x14ac:dyDescent="0.35">
      <c r="M894" s="59"/>
    </row>
    <row r="895" spans="13:13" ht="14.25" customHeight="1" x14ac:dyDescent="0.35">
      <c r="M895" s="59"/>
    </row>
    <row r="896" spans="13:13" ht="14.25" customHeight="1" x14ac:dyDescent="0.35">
      <c r="M896" s="59"/>
    </row>
    <row r="897" spans="13:13" ht="14.25" customHeight="1" x14ac:dyDescent="0.35">
      <c r="M897" s="59"/>
    </row>
    <row r="898" spans="13:13" ht="14.25" customHeight="1" x14ac:dyDescent="0.35">
      <c r="M898" s="59"/>
    </row>
    <row r="899" spans="13:13" ht="14.25" customHeight="1" x14ac:dyDescent="0.35">
      <c r="M899" s="59"/>
    </row>
    <row r="900" spans="13:13" ht="14.25" customHeight="1" x14ac:dyDescent="0.35">
      <c r="M900" s="59"/>
    </row>
    <row r="901" spans="13:13" ht="14.25" customHeight="1" x14ac:dyDescent="0.35">
      <c r="M901" s="59"/>
    </row>
    <row r="902" spans="13:13" ht="14.25" customHeight="1" x14ac:dyDescent="0.35">
      <c r="M902" s="59"/>
    </row>
    <row r="903" spans="13:13" ht="14.25" customHeight="1" x14ac:dyDescent="0.35">
      <c r="M903" s="59"/>
    </row>
    <row r="904" spans="13:13" ht="14.25" customHeight="1" x14ac:dyDescent="0.35">
      <c r="M904" s="59"/>
    </row>
    <row r="905" spans="13:13" ht="14.25" customHeight="1" x14ac:dyDescent="0.35">
      <c r="M905" s="59"/>
    </row>
    <row r="906" spans="13:13" ht="14.25" customHeight="1" x14ac:dyDescent="0.35">
      <c r="M906" s="59"/>
    </row>
    <row r="907" spans="13:13" ht="14.25" customHeight="1" x14ac:dyDescent="0.35">
      <c r="M907" s="59"/>
    </row>
    <row r="908" spans="13:13" ht="14.25" customHeight="1" x14ac:dyDescent="0.35">
      <c r="M908" s="59"/>
    </row>
    <row r="909" spans="13:13" ht="14.25" customHeight="1" x14ac:dyDescent="0.35">
      <c r="M909" s="59"/>
    </row>
    <row r="910" spans="13:13" ht="14.25" customHeight="1" x14ac:dyDescent="0.35">
      <c r="M910" s="59"/>
    </row>
    <row r="911" spans="13:13" ht="14.25" customHeight="1" x14ac:dyDescent="0.35">
      <c r="M911" s="59"/>
    </row>
    <row r="912" spans="13:13" ht="14.25" customHeight="1" x14ac:dyDescent="0.35">
      <c r="M912" s="59"/>
    </row>
    <row r="913" spans="13:13" ht="14.25" customHeight="1" x14ac:dyDescent="0.35">
      <c r="M913" s="59"/>
    </row>
    <row r="914" spans="13:13" ht="14.25" customHeight="1" x14ac:dyDescent="0.35">
      <c r="M914" s="59"/>
    </row>
    <row r="915" spans="13:13" ht="14.25" customHeight="1" x14ac:dyDescent="0.35">
      <c r="M915" s="59"/>
    </row>
    <row r="916" spans="13:13" ht="14.25" customHeight="1" x14ac:dyDescent="0.35">
      <c r="M916" s="59"/>
    </row>
    <row r="917" spans="13:13" ht="14.25" customHeight="1" x14ac:dyDescent="0.35">
      <c r="M917" s="59"/>
    </row>
    <row r="918" spans="13:13" ht="14.25" customHeight="1" x14ac:dyDescent="0.35">
      <c r="M918" s="59"/>
    </row>
    <row r="919" spans="13:13" ht="14.25" customHeight="1" x14ac:dyDescent="0.35">
      <c r="M919" s="59"/>
    </row>
    <row r="920" spans="13:13" ht="14.25" customHeight="1" x14ac:dyDescent="0.35">
      <c r="M920" s="59"/>
    </row>
    <row r="921" spans="13:13" ht="14.25" customHeight="1" x14ac:dyDescent="0.35">
      <c r="M921" s="59"/>
    </row>
    <row r="922" spans="13:13" ht="14.25" customHeight="1" x14ac:dyDescent="0.35">
      <c r="M922" s="59"/>
    </row>
    <row r="923" spans="13:13" ht="14.25" customHeight="1" x14ac:dyDescent="0.35">
      <c r="M923" s="59"/>
    </row>
    <row r="924" spans="13:13" ht="14.25" customHeight="1" x14ac:dyDescent="0.35">
      <c r="M924" s="59"/>
    </row>
    <row r="925" spans="13:13" ht="14.25" customHeight="1" x14ac:dyDescent="0.35">
      <c r="M925" s="59"/>
    </row>
    <row r="926" spans="13:13" ht="14.25" customHeight="1" x14ac:dyDescent="0.35">
      <c r="M926" s="59"/>
    </row>
    <row r="927" spans="13:13" ht="14.25" customHeight="1" x14ac:dyDescent="0.35">
      <c r="M927" s="59"/>
    </row>
    <row r="928" spans="13:13" ht="14.25" customHeight="1" x14ac:dyDescent="0.35">
      <c r="M928" s="59"/>
    </row>
    <row r="929" spans="13:13" ht="14.25" customHeight="1" x14ac:dyDescent="0.35">
      <c r="M929" s="59"/>
    </row>
    <row r="930" spans="13:13" ht="14.25" customHeight="1" x14ac:dyDescent="0.35">
      <c r="M930" s="59"/>
    </row>
    <row r="931" spans="13:13" ht="14.25" customHeight="1" x14ac:dyDescent="0.35">
      <c r="M931" s="59"/>
    </row>
    <row r="932" spans="13:13" ht="14.25" customHeight="1" x14ac:dyDescent="0.35">
      <c r="M932" s="59"/>
    </row>
    <row r="933" spans="13:13" ht="14.25" customHeight="1" x14ac:dyDescent="0.35">
      <c r="M933" s="59"/>
    </row>
    <row r="934" spans="13:13" ht="14.25" customHeight="1" x14ac:dyDescent="0.35">
      <c r="M934" s="59"/>
    </row>
    <row r="935" spans="13:13" ht="14.25" customHeight="1" x14ac:dyDescent="0.35">
      <c r="M935" s="59"/>
    </row>
    <row r="936" spans="13:13" ht="14.25" customHeight="1" x14ac:dyDescent="0.35">
      <c r="M936" s="59"/>
    </row>
    <row r="937" spans="13:13" ht="14.25" customHeight="1" x14ac:dyDescent="0.35">
      <c r="M937" s="59"/>
    </row>
    <row r="938" spans="13:13" ht="14.25" customHeight="1" x14ac:dyDescent="0.35">
      <c r="M938" s="59"/>
    </row>
    <row r="939" spans="13:13" ht="14.25" customHeight="1" x14ac:dyDescent="0.35">
      <c r="M939" s="59"/>
    </row>
    <row r="940" spans="13:13" ht="14.25" customHeight="1" x14ac:dyDescent="0.35">
      <c r="M940" s="59"/>
    </row>
    <row r="941" spans="13:13" ht="14.25" customHeight="1" x14ac:dyDescent="0.35">
      <c r="M941" s="59"/>
    </row>
    <row r="942" spans="13:13" ht="14.25" customHeight="1" x14ac:dyDescent="0.35">
      <c r="M942" s="59"/>
    </row>
    <row r="943" spans="13:13" ht="14.25" customHeight="1" x14ac:dyDescent="0.35">
      <c r="M943" s="59"/>
    </row>
    <row r="944" spans="13:13" ht="14.25" customHeight="1" x14ac:dyDescent="0.35">
      <c r="M944" s="59"/>
    </row>
    <row r="945" spans="13:13" ht="14.25" customHeight="1" x14ac:dyDescent="0.35">
      <c r="M945" s="59"/>
    </row>
    <row r="946" spans="13:13" ht="14.25" customHeight="1" x14ac:dyDescent="0.35">
      <c r="M946" s="59"/>
    </row>
    <row r="947" spans="13:13" ht="14.25" customHeight="1" x14ac:dyDescent="0.35">
      <c r="M947" s="59"/>
    </row>
    <row r="948" spans="13:13" ht="14.25" customHeight="1" x14ac:dyDescent="0.35">
      <c r="M948" s="59"/>
    </row>
    <row r="949" spans="13:13" ht="14.25" customHeight="1" x14ac:dyDescent="0.35">
      <c r="M949" s="59"/>
    </row>
    <row r="950" spans="13:13" ht="14.25" customHeight="1" x14ac:dyDescent="0.35">
      <c r="M950" s="59"/>
    </row>
    <row r="951" spans="13:13" ht="14.25" customHeight="1" x14ac:dyDescent="0.35">
      <c r="M951" s="59"/>
    </row>
    <row r="952" spans="13:13" ht="14.25" customHeight="1" x14ac:dyDescent="0.35">
      <c r="M952" s="59"/>
    </row>
    <row r="953" spans="13:13" ht="14.25" customHeight="1" x14ac:dyDescent="0.35">
      <c r="M953" s="59"/>
    </row>
    <row r="954" spans="13:13" ht="14.25" customHeight="1" x14ac:dyDescent="0.35">
      <c r="M954" s="59"/>
    </row>
    <row r="955" spans="13:13" ht="14.25" customHeight="1" x14ac:dyDescent="0.35">
      <c r="M955" s="59"/>
    </row>
    <row r="956" spans="13:13" ht="14.25" customHeight="1" x14ac:dyDescent="0.35">
      <c r="M956" s="59"/>
    </row>
    <row r="957" spans="13:13" ht="14.25" customHeight="1" x14ac:dyDescent="0.35">
      <c r="M957" s="59"/>
    </row>
    <row r="958" spans="13:13" ht="14.25" customHeight="1" x14ac:dyDescent="0.35">
      <c r="M958" s="59"/>
    </row>
    <row r="959" spans="13:13" ht="14.25" customHeight="1" x14ac:dyDescent="0.35">
      <c r="M959" s="59"/>
    </row>
    <row r="960" spans="13:13" ht="14.25" customHeight="1" x14ac:dyDescent="0.35">
      <c r="M960" s="59"/>
    </row>
    <row r="961" spans="13:13" ht="14.25" customHeight="1" x14ac:dyDescent="0.35">
      <c r="M961" s="59"/>
    </row>
    <row r="962" spans="13:13" ht="14.25" customHeight="1" x14ac:dyDescent="0.35">
      <c r="M962" s="59"/>
    </row>
    <row r="963" spans="13:13" ht="14.25" customHeight="1" x14ac:dyDescent="0.35">
      <c r="M963" s="59"/>
    </row>
    <row r="964" spans="13:13" ht="14.25" customHeight="1" x14ac:dyDescent="0.35">
      <c r="M964" s="59"/>
    </row>
    <row r="965" spans="13:13" ht="14.25" customHeight="1" x14ac:dyDescent="0.35">
      <c r="M965" s="59"/>
    </row>
    <row r="966" spans="13:13" ht="14.25" customHeight="1" x14ac:dyDescent="0.35">
      <c r="M966" s="59"/>
    </row>
    <row r="967" spans="13:13" ht="14.25" customHeight="1" x14ac:dyDescent="0.35">
      <c r="M967" s="59"/>
    </row>
    <row r="968" spans="13:13" ht="14.25" customHeight="1" x14ac:dyDescent="0.35">
      <c r="M968" s="59"/>
    </row>
    <row r="969" spans="13:13" ht="14.25" customHeight="1" x14ac:dyDescent="0.35">
      <c r="M969" s="59"/>
    </row>
    <row r="970" spans="13:13" ht="14.25" customHeight="1" x14ac:dyDescent="0.35">
      <c r="M970" s="59"/>
    </row>
    <row r="971" spans="13:13" ht="14.25" customHeight="1" x14ac:dyDescent="0.35">
      <c r="M971" s="59"/>
    </row>
    <row r="972" spans="13:13" ht="14.25" customHeight="1" x14ac:dyDescent="0.35">
      <c r="M972" s="59"/>
    </row>
    <row r="973" spans="13:13" ht="14.25" customHeight="1" x14ac:dyDescent="0.35">
      <c r="M973" s="59"/>
    </row>
    <row r="974" spans="13:13" ht="14.25" customHeight="1" x14ac:dyDescent="0.35">
      <c r="M974" s="59"/>
    </row>
    <row r="975" spans="13:13" ht="14.25" customHeight="1" x14ac:dyDescent="0.35">
      <c r="M975" s="59"/>
    </row>
    <row r="976" spans="13:13" ht="14.25" customHeight="1" x14ac:dyDescent="0.35">
      <c r="M976" s="59"/>
    </row>
    <row r="977" spans="13:13" ht="14.25" customHeight="1" x14ac:dyDescent="0.35">
      <c r="M977" s="59"/>
    </row>
    <row r="978" spans="13:13" ht="14.25" customHeight="1" x14ac:dyDescent="0.35">
      <c r="M978" s="59"/>
    </row>
    <row r="979" spans="13:13" ht="14.25" customHeight="1" x14ac:dyDescent="0.35">
      <c r="M979" s="59"/>
    </row>
    <row r="980" spans="13:13" ht="14.25" customHeight="1" x14ac:dyDescent="0.35">
      <c r="M980" s="59"/>
    </row>
    <row r="981" spans="13:13" ht="14.25" customHeight="1" x14ac:dyDescent="0.35">
      <c r="M981" s="59"/>
    </row>
    <row r="982" spans="13:13" ht="14.25" customHeight="1" x14ac:dyDescent="0.35">
      <c r="M982" s="59"/>
    </row>
    <row r="983" spans="13:13" ht="14.25" customHeight="1" x14ac:dyDescent="0.35">
      <c r="M983" s="59"/>
    </row>
    <row r="984" spans="13:13" ht="14.25" customHeight="1" x14ac:dyDescent="0.35">
      <c r="M984" s="59"/>
    </row>
    <row r="985" spans="13:13" ht="14.25" customHeight="1" x14ac:dyDescent="0.35">
      <c r="M985" s="59"/>
    </row>
    <row r="986" spans="13:13" ht="14.25" customHeight="1" x14ac:dyDescent="0.35">
      <c r="M986" s="59"/>
    </row>
    <row r="987" spans="13:13" ht="14.25" customHeight="1" x14ac:dyDescent="0.35">
      <c r="M987" s="59"/>
    </row>
    <row r="988" spans="13:13" ht="14.25" customHeight="1" x14ac:dyDescent="0.35">
      <c r="M988" s="59"/>
    </row>
    <row r="989" spans="13:13" ht="14.25" customHeight="1" x14ac:dyDescent="0.35">
      <c r="M989" s="59"/>
    </row>
    <row r="990" spans="13:13" ht="14.25" customHeight="1" x14ac:dyDescent="0.35">
      <c r="M990" s="59"/>
    </row>
    <row r="991" spans="13:13" ht="14.25" customHeight="1" x14ac:dyDescent="0.35">
      <c r="M991" s="59"/>
    </row>
    <row r="992" spans="13:13" ht="14.25" customHeight="1" x14ac:dyDescent="0.35">
      <c r="M992" s="59"/>
    </row>
    <row r="993" spans="13:13" ht="14.25" customHeight="1" x14ac:dyDescent="0.35">
      <c r="M993" s="59"/>
    </row>
    <row r="994" spans="13:13" ht="14.25" customHeight="1" x14ac:dyDescent="0.35">
      <c r="M994" s="59"/>
    </row>
    <row r="995" spans="13:13" ht="14.25" customHeight="1" x14ac:dyDescent="0.35">
      <c r="M995" s="59"/>
    </row>
    <row r="996" spans="13:13" ht="14.25" customHeight="1" x14ac:dyDescent="0.35">
      <c r="M996" s="59"/>
    </row>
    <row r="997" spans="13:13" ht="14.25" customHeight="1" x14ac:dyDescent="0.35">
      <c r="M997" s="59"/>
    </row>
    <row r="998" spans="13:13" ht="14.25" customHeight="1" x14ac:dyDescent="0.35">
      <c r="M998" s="59"/>
    </row>
    <row r="999" spans="13:13" ht="14.25" customHeight="1" x14ac:dyDescent="0.35">
      <c r="M999" s="59"/>
    </row>
    <row r="1000" spans="13:13" ht="14.25" customHeight="1" x14ac:dyDescent="0.35">
      <c r="M1000" s="59"/>
    </row>
    <row r="1001" spans="13:13" ht="14.25" customHeight="1" x14ac:dyDescent="0.35">
      <c r="M1001" s="59"/>
    </row>
  </sheetData>
  <autoFilter ref="D3:L106" xr:uid="{00000000-0009-0000-0000-000003000000}">
    <sortState xmlns:xlrd2="http://schemas.microsoft.com/office/spreadsheetml/2017/richdata2" ref="D4:L105">
      <sortCondition ref="L3:L105"/>
    </sortState>
  </autoFilter>
  <mergeCells count="1">
    <mergeCell ref="D110:E1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30CF5-D81D-4400-AC9B-7F4C61928656}">
  <dimension ref="C3:M49"/>
  <sheetViews>
    <sheetView topLeftCell="B10" zoomScale="84" zoomScaleNormal="84" workbookViewId="0">
      <selection activeCell="C49" sqref="C49:E49"/>
    </sheetView>
  </sheetViews>
  <sheetFormatPr baseColWidth="10" defaultColWidth="10.7265625" defaultRowHeight="14.5" x14ac:dyDescent="0.35"/>
  <cols>
    <col min="3" max="3" width="73.1796875" bestFit="1" customWidth="1"/>
    <col min="4" max="4" width="35.81640625" bestFit="1" customWidth="1"/>
    <col min="5" max="5" width="15.54296875" bestFit="1" customWidth="1"/>
    <col min="6" max="6" width="9.81640625" customWidth="1"/>
    <col min="7" max="7" width="30.1796875" bestFit="1" customWidth="1"/>
    <col min="8" max="8" width="36.54296875" bestFit="1" customWidth="1"/>
    <col min="9" max="9" width="15.453125" bestFit="1" customWidth="1"/>
    <col min="10" max="22" width="9.81640625" customWidth="1"/>
    <col min="23" max="38" width="11.453125" customWidth="1"/>
    <col min="39" max="50" width="11.453125" bestFit="1" customWidth="1"/>
    <col min="51" max="73" width="11.453125" customWidth="1"/>
    <col min="74" max="81" width="12.453125" customWidth="1"/>
    <col min="82" max="88" width="12.453125" bestFit="1" customWidth="1"/>
    <col min="89" max="96" width="12.453125" customWidth="1"/>
    <col min="97" max="101" width="13.453125" bestFit="1" customWidth="1"/>
    <col min="102" max="102" width="13.7265625" bestFit="1" customWidth="1"/>
  </cols>
  <sheetData>
    <row r="3" spans="3:13" ht="29" x14ac:dyDescent="0.35">
      <c r="C3" s="1" t="s">
        <v>456</v>
      </c>
      <c r="D3" s="54">
        <v>8725.89</v>
      </c>
      <c r="G3" s="2"/>
    </row>
    <row r="4" spans="3:13" ht="29" x14ac:dyDescent="0.35">
      <c r="C4" s="1" t="s">
        <v>457</v>
      </c>
      <c r="D4" s="54">
        <v>9749.67</v>
      </c>
      <c r="G4" s="3"/>
    </row>
    <row r="5" spans="3:13" x14ac:dyDescent="0.35">
      <c r="C5" s="4" t="s">
        <v>458</v>
      </c>
      <c r="D5" s="5">
        <v>77.594999999999999</v>
      </c>
      <c r="G5" s="3"/>
    </row>
    <row r="6" spans="3:13" x14ac:dyDescent="0.35">
      <c r="C6" s="4" t="s">
        <v>459</v>
      </c>
      <c r="D6" s="6">
        <f>'COSTOS Y GASTOS MARZO 2026'!E195</f>
        <v>3717.5574193548377</v>
      </c>
    </row>
    <row r="8" spans="3:13" x14ac:dyDescent="0.35">
      <c r="C8" s="163" t="s">
        <v>460</v>
      </c>
      <c r="D8" s="163"/>
      <c r="E8" s="163"/>
      <c r="G8" s="163" t="s">
        <v>461</v>
      </c>
      <c r="H8" s="163"/>
      <c r="I8" s="163"/>
    </row>
    <row r="9" spans="3:13" x14ac:dyDescent="0.35">
      <c r="C9" s="164" t="s">
        <v>0</v>
      </c>
      <c r="D9" s="164" t="s">
        <v>1</v>
      </c>
      <c r="E9" s="166" t="s">
        <v>2</v>
      </c>
      <c r="G9" s="164" t="s">
        <v>0</v>
      </c>
      <c r="H9" s="164" t="s">
        <v>1</v>
      </c>
      <c r="I9" s="166" t="s">
        <v>2</v>
      </c>
    </row>
    <row r="10" spans="3:13" x14ac:dyDescent="0.35">
      <c r="C10" s="164"/>
      <c r="D10" s="165"/>
      <c r="E10" s="167"/>
      <c r="G10" s="164"/>
      <c r="H10" s="165"/>
      <c r="I10" s="167"/>
    </row>
    <row r="11" spans="3:13" x14ac:dyDescent="0.35">
      <c r="C11" s="8" t="s">
        <v>3</v>
      </c>
      <c r="D11" s="9"/>
      <c r="E11" s="10">
        <f>+SUM(D3:D4)*D5*D6</f>
        <v>5329531500.231698</v>
      </c>
      <c r="G11" s="8" t="s">
        <v>3</v>
      </c>
      <c r="H11" s="9"/>
      <c r="I11" s="10">
        <f>+SUM(D3:D4)*D5*D6</f>
        <v>5329531500.231698</v>
      </c>
    </row>
    <row r="12" spans="3:13" x14ac:dyDescent="0.35">
      <c r="C12" s="8" t="s">
        <v>4</v>
      </c>
      <c r="D12" s="9">
        <f>+E12/E11</f>
        <v>0.47229366795918498</v>
      </c>
      <c r="E12" s="10">
        <f>+D3*D5*D6</f>
        <v>2517103980.7484465</v>
      </c>
      <c r="G12" s="8" t="s">
        <v>5</v>
      </c>
      <c r="H12" s="11">
        <f>+I12/I11</f>
        <v>0.52770633204081507</v>
      </c>
      <c r="I12" s="10">
        <f>+D4*D5*D6</f>
        <v>2812427519.4832516</v>
      </c>
    </row>
    <row r="13" spans="3:13" x14ac:dyDescent="0.35">
      <c r="C13" s="8" t="s">
        <v>6</v>
      </c>
      <c r="D13" s="9">
        <f>+E13/$E$11</f>
        <v>0.24111868061311947</v>
      </c>
      <c r="E13" s="10">
        <f>+SUM('COSTOS Y GASTOS MARZO 2026'!I3:I137)*D12</f>
        <v>1285049603.6219263</v>
      </c>
      <c r="G13" s="8" t="s">
        <v>6</v>
      </c>
      <c r="H13" s="11">
        <f>+I13/$I$11</f>
        <v>0.2694083430817158</v>
      </c>
      <c r="I13" s="10">
        <f>+SUM('COSTOS Y GASTOS MARZO 2026'!I3:I137)*H12</f>
        <v>1435820250.8792326</v>
      </c>
      <c r="M13" t="s">
        <v>20</v>
      </c>
    </row>
    <row r="14" spans="3:13" x14ac:dyDescent="0.35">
      <c r="C14" s="8" t="s">
        <v>8</v>
      </c>
      <c r="D14" s="9">
        <f>+E14/$E$11</f>
        <v>6.0736748502481733E-3</v>
      </c>
      <c r="E14" s="10">
        <f>+SUM('COSTOS Y GASTOS MARZO 2026'!I138:I161)*D12</f>
        <v>32369841.43656268</v>
      </c>
      <c r="G14" s="8" t="s">
        <v>8</v>
      </c>
      <c r="H14" s="11">
        <f>+I14/$I$11</f>
        <v>6.786279162036093E-3</v>
      </c>
      <c r="I14" s="10">
        <f>+SUM('COSTOS Y GASTOS MARZO 2026'!I138:I161)*H12</f>
        <v>36167688.563437328</v>
      </c>
    </row>
    <row r="15" spans="3:13" x14ac:dyDescent="0.35">
      <c r="C15" s="8" t="s">
        <v>9</v>
      </c>
      <c r="D15" s="9">
        <f t="shared" ref="D15:D17" si="0">+E15/$E$11</f>
        <v>0.22510131249581727</v>
      </c>
      <c r="E15" s="10">
        <f>+E12-E13-E14</f>
        <v>1199684535.6899574</v>
      </c>
      <c r="G15" s="8" t="s">
        <v>9</v>
      </c>
      <c r="H15" s="11">
        <f t="shared" ref="H15:H17" si="1">+I15/$I$11</f>
        <v>0.25151170979706322</v>
      </c>
      <c r="I15" s="10">
        <f>+I12-I13-I14</f>
        <v>1340439580.0405817</v>
      </c>
    </row>
    <row r="16" spans="3:13" x14ac:dyDescent="0.35">
      <c r="C16" s="90" t="s">
        <v>10</v>
      </c>
      <c r="D16" s="91">
        <f t="shared" si="0"/>
        <v>3.7783493436734802E-2</v>
      </c>
      <c r="E16" s="92">
        <f>+E12*8%</f>
        <v>201368318.45987573</v>
      </c>
      <c r="G16" s="8" t="s">
        <v>10</v>
      </c>
      <c r="H16" s="11">
        <f t="shared" si="1"/>
        <v>4.2216506563265199E-2</v>
      </c>
      <c r="I16" s="10">
        <f>+I12*8%</f>
        <v>224994201.55866012</v>
      </c>
    </row>
    <row r="17" spans="3:9" x14ac:dyDescent="0.35">
      <c r="C17" s="93" t="s">
        <v>7</v>
      </c>
      <c r="D17" s="9">
        <f t="shared" si="0"/>
        <v>0.18731781905908249</v>
      </c>
      <c r="E17" s="13">
        <f>+E15-E16</f>
        <v>998316217.23008168</v>
      </c>
      <c r="G17" s="8" t="s">
        <v>7</v>
      </c>
      <c r="H17" s="11">
        <f t="shared" si="1"/>
        <v>0.20929520323379802</v>
      </c>
      <c r="I17" s="10">
        <f>+I15-I16</f>
        <v>1115445378.4819217</v>
      </c>
    </row>
    <row r="18" spans="3:9" x14ac:dyDescent="0.35">
      <c r="C18" s="55"/>
      <c r="D18" s="56"/>
      <c r="E18" s="57"/>
      <c r="G18" s="55"/>
      <c r="H18" s="58"/>
      <c r="I18" s="57"/>
    </row>
    <row r="19" spans="3:9" x14ac:dyDescent="0.35">
      <c r="C19" s="163" t="s">
        <v>11</v>
      </c>
      <c r="D19" s="163"/>
      <c r="G19" s="163" t="s">
        <v>455</v>
      </c>
      <c r="H19" s="163"/>
    </row>
    <row r="20" spans="3:9" x14ac:dyDescent="0.35">
      <c r="C20" s="7" t="s">
        <v>0</v>
      </c>
      <c r="D20" s="7" t="s">
        <v>12</v>
      </c>
      <c r="G20" s="7" t="s">
        <v>0</v>
      </c>
      <c r="H20" s="7" t="s">
        <v>12</v>
      </c>
    </row>
    <row r="21" spans="3:9" x14ac:dyDescent="0.35">
      <c r="C21" s="12" t="s">
        <v>13</v>
      </c>
      <c r="D21" s="13">
        <f>+E17</f>
        <v>998316217.23008168</v>
      </c>
      <c r="G21" s="12" t="s">
        <v>13</v>
      </c>
      <c r="H21" s="13">
        <f>I17</f>
        <v>1115445378.4819217</v>
      </c>
    </row>
    <row r="22" spans="3:9" x14ac:dyDescent="0.35">
      <c r="C22" s="12" t="s">
        <v>14</v>
      </c>
      <c r="D22" s="14">
        <v>0.3</v>
      </c>
      <c r="G22" s="12" t="s">
        <v>15</v>
      </c>
      <c r="H22" s="14">
        <v>0.3</v>
      </c>
    </row>
    <row r="23" spans="3:9" ht="15.5" x14ac:dyDescent="0.35">
      <c r="C23" s="12" t="s">
        <v>17</v>
      </c>
      <c r="D23" s="15">
        <f>+D21*D22</f>
        <v>299494865.16902447</v>
      </c>
      <c r="G23" s="12" t="s">
        <v>16</v>
      </c>
      <c r="H23" s="15">
        <f>+(H21*H22)</f>
        <v>334633613.54457647</v>
      </c>
    </row>
    <row r="24" spans="3:9" x14ac:dyDescent="0.35">
      <c r="C24" s="12" t="s">
        <v>18</v>
      </c>
      <c r="D24" s="13">
        <f>'BALANCE FEBRERO 2026'!D25</f>
        <v>11307219370.547682</v>
      </c>
      <c r="H24" s="16"/>
    </row>
    <row r="25" spans="3:9" x14ac:dyDescent="0.35">
      <c r="C25" s="12" t="s">
        <v>19</v>
      </c>
      <c r="D25" s="13">
        <f>+D24-D23</f>
        <v>11007724505.378658</v>
      </c>
      <c r="G25" s="3"/>
    </row>
    <row r="27" spans="3:9" x14ac:dyDescent="0.35">
      <c r="G27" s="17"/>
      <c r="H27" s="17"/>
    </row>
    <row r="28" spans="3:9" x14ac:dyDescent="0.35">
      <c r="C28" s="137" t="s">
        <v>258</v>
      </c>
      <c r="D28" s="137" t="s">
        <v>21</v>
      </c>
      <c r="E28" s="137" t="s">
        <v>22</v>
      </c>
      <c r="G28" s="17"/>
      <c r="H28" s="17"/>
    </row>
    <row r="29" spans="3:9" x14ac:dyDescent="0.35">
      <c r="C29" s="19" t="s">
        <v>534</v>
      </c>
      <c r="D29" s="135">
        <v>618053327</v>
      </c>
      <c r="E29" s="136">
        <v>0.22157155331060724</v>
      </c>
    </row>
    <row r="30" spans="3:9" x14ac:dyDescent="0.35">
      <c r="C30" s="19" t="s">
        <v>448</v>
      </c>
      <c r="D30" s="135">
        <v>420487500</v>
      </c>
      <c r="E30" s="136">
        <v>0.15074438475224641</v>
      </c>
    </row>
    <row r="31" spans="3:9" x14ac:dyDescent="0.35">
      <c r="C31" s="19" t="s">
        <v>25</v>
      </c>
      <c r="D31" s="135">
        <v>392880070</v>
      </c>
      <c r="E31" s="136">
        <v>0.14084714630891407</v>
      </c>
    </row>
    <row r="32" spans="3:9" x14ac:dyDescent="0.35">
      <c r="C32" s="19" t="s">
        <v>28</v>
      </c>
      <c r="D32" s="135">
        <v>286222557</v>
      </c>
      <c r="E32" s="136">
        <v>0.10261052530022838</v>
      </c>
    </row>
    <row r="33" spans="3:5" x14ac:dyDescent="0.35">
      <c r="C33" s="19" t="s">
        <v>464</v>
      </c>
      <c r="D33" s="135">
        <v>272700000</v>
      </c>
      <c r="E33" s="136">
        <v>9.7762700964802982E-2</v>
      </c>
    </row>
    <row r="34" spans="3:5" x14ac:dyDescent="0.35">
      <c r="C34" s="19" t="s">
        <v>496</v>
      </c>
      <c r="D34" s="135">
        <v>188697589</v>
      </c>
      <c r="E34" s="136">
        <v>6.7647913334016485E-2</v>
      </c>
    </row>
    <row r="35" spans="3:5" x14ac:dyDescent="0.35">
      <c r="C35" s="19" t="s">
        <v>29</v>
      </c>
      <c r="D35" s="135">
        <v>179490224</v>
      </c>
      <c r="E35" s="136">
        <v>6.4347081389869831E-2</v>
      </c>
    </row>
    <row r="36" spans="3:5" x14ac:dyDescent="0.35">
      <c r="C36" s="19" t="s">
        <v>142</v>
      </c>
      <c r="D36" s="135">
        <v>111452000</v>
      </c>
      <c r="E36" s="136">
        <v>3.995544021976246E-2</v>
      </c>
    </row>
    <row r="37" spans="3:5" x14ac:dyDescent="0.35">
      <c r="C37" s="19" t="s">
        <v>211</v>
      </c>
      <c r="D37" s="135">
        <v>104320000</v>
      </c>
      <c r="E37" s="136">
        <v>3.7398624732850196E-2</v>
      </c>
    </row>
    <row r="38" spans="3:5" x14ac:dyDescent="0.35">
      <c r="C38" s="19" t="s">
        <v>700</v>
      </c>
      <c r="D38" s="135">
        <v>51003916</v>
      </c>
      <c r="E38" s="136">
        <v>1.8284857308184563E-2</v>
      </c>
    </row>
    <row r="39" spans="3:5" x14ac:dyDescent="0.35">
      <c r="C39" s="19" t="s">
        <v>415</v>
      </c>
      <c r="D39" s="135">
        <v>50000000</v>
      </c>
      <c r="E39" s="136">
        <v>1.792495433898111E-2</v>
      </c>
    </row>
    <row r="40" spans="3:5" x14ac:dyDescent="0.35">
      <c r="C40" s="19" t="s">
        <v>34</v>
      </c>
      <c r="D40" s="135">
        <v>26647657.501158491</v>
      </c>
      <c r="E40" s="136">
        <v>9.553160878981469E-3</v>
      </c>
    </row>
    <row r="41" spans="3:5" x14ac:dyDescent="0.35">
      <c r="C41" s="19" t="s">
        <v>709</v>
      </c>
      <c r="D41" s="135">
        <v>20871815</v>
      </c>
      <c r="E41" s="136">
        <v>7.4825266169332213E-3</v>
      </c>
    </row>
    <row r="42" spans="3:5" x14ac:dyDescent="0.35">
      <c r="C42" s="19" t="s">
        <v>30</v>
      </c>
      <c r="D42" s="135">
        <v>20735811</v>
      </c>
      <c r="E42" s="136">
        <v>7.4337693071348451E-3</v>
      </c>
    </row>
    <row r="43" spans="3:5" x14ac:dyDescent="0.35">
      <c r="C43" s="19" t="s">
        <v>466</v>
      </c>
      <c r="D43" s="135">
        <v>17407154</v>
      </c>
      <c r="E43" s="136">
        <v>6.2404488124322482E-3</v>
      </c>
    </row>
    <row r="44" spans="3:5" x14ac:dyDescent="0.35">
      <c r="C44" s="19" t="s">
        <v>85</v>
      </c>
      <c r="D44" s="135">
        <v>13427751</v>
      </c>
      <c r="E44" s="136">
        <v>4.8138364710041594E-3</v>
      </c>
    </row>
    <row r="45" spans="3:5" x14ac:dyDescent="0.35">
      <c r="C45" s="19" t="s">
        <v>468</v>
      </c>
      <c r="D45" s="135">
        <v>5574303</v>
      </c>
      <c r="E45" s="136">
        <v>1.9983825349329087E-3</v>
      </c>
    </row>
    <row r="46" spans="3:5" x14ac:dyDescent="0.35">
      <c r="C46" s="19" t="s">
        <v>126</v>
      </c>
      <c r="D46" s="135">
        <v>4840710</v>
      </c>
      <c r="E46" s="136">
        <v>1.7353901143649852E-3</v>
      </c>
    </row>
    <row r="47" spans="3:5" x14ac:dyDescent="0.35">
      <c r="C47" s="19" t="s">
        <v>555</v>
      </c>
      <c r="D47" s="135">
        <v>4000000</v>
      </c>
      <c r="E47" s="136">
        <v>1.433996347118489E-3</v>
      </c>
    </row>
    <row r="48" spans="3:5" x14ac:dyDescent="0.35">
      <c r="C48" s="19" t="s">
        <v>74</v>
      </c>
      <c r="D48" s="135">
        <v>595000</v>
      </c>
      <c r="E48" s="136">
        <v>2.1330695663387524E-4</v>
      </c>
    </row>
    <row r="49" spans="3:5" x14ac:dyDescent="0.35">
      <c r="C49" s="95" t="s">
        <v>36</v>
      </c>
      <c r="D49" s="97">
        <v>2789407384.5011587</v>
      </c>
      <c r="E49" s="138">
        <v>1</v>
      </c>
    </row>
  </sheetData>
  <autoFilter ref="C28:E49" xr:uid="{36F30CF5-D81D-4400-AC9B-7F4C61928656}"/>
  <mergeCells count="10">
    <mergeCell ref="C19:D19"/>
    <mergeCell ref="G19:H19"/>
    <mergeCell ref="C8:E8"/>
    <mergeCell ref="G8:I8"/>
    <mergeCell ref="C9:C10"/>
    <mergeCell ref="D9:D10"/>
    <mergeCell ref="E9:E10"/>
    <mergeCell ref="G9:G10"/>
    <mergeCell ref="H9:H10"/>
    <mergeCell ref="I9:I10"/>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343A-8126-49D7-A867-1172BD707A77}">
  <dimension ref="C1:M195"/>
  <sheetViews>
    <sheetView zoomScale="83" zoomScaleNormal="83" workbookViewId="0">
      <selection activeCell="I147" sqref="I147"/>
    </sheetView>
  </sheetViews>
  <sheetFormatPr baseColWidth="10" defaultRowHeight="14.5" x14ac:dyDescent="0.35"/>
  <cols>
    <col min="1" max="1" width="5.54296875" customWidth="1"/>
    <col min="2" max="2" width="9.36328125" customWidth="1"/>
    <col min="3" max="3" width="5.90625" customWidth="1"/>
    <col min="4" max="4" width="26.54296875" customWidth="1"/>
    <col min="5" max="5" width="30.7265625" bestFit="1" customWidth="1"/>
    <col min="6" max="6" width="23.54296875" customWidth="1"/>
    <col min="7" max="7" width="20.81640625" bestFit="1" customWidth="1"/>
    <col min="8" max="8" width="19" bestFit="1" customWidth="1"/>
    <col min="9" max="9" width="15.08984375" bestFit="1" customWidth="1"/>
    <col min="10" max="10" width="14.90625" bestFit="1" customWidth="1"/>
    <col min="11" max="11" width="15.26953125" bestFit="1" customWidth="1"/>
    <col min="12" max="12" width="6.54296875" bestFit="1" customWidth="1"/>
    <col min="13" max="13" width="13.453125" bestFit="1" customWidth="1"/>
  </cols>
  <sheetData>
    <row r="1" spans="4:12" ht="15" thickBot="1" x14ac:dyDescent="0.4"/>
    <row r="2" spans="4:12" ht="42.5" thickBot="1" x14ac:dyDescent="0.4">
      <c r="D2" s="29" t="s">
        <v>256</v>
      </c>
      <c r="E2" s="30" t="s">
        <v>257</v>
      </c>
      <c r="F2" s="29" t="s">
        <v>258</v>
      </c>
      <c r="G2" s="30" t="s">
        <v>259</v>
      </c>
      <c r="H2" s="30" t="s">
        <v>260</v>
      </c>
      <c r="I2" s="29" t="s">
        <v>261</v>
      </c>
      <c r="J2" s="30" t="s">
        <v>262</v>
      </c>
      <c r="K2" s="30" t="s">
        <v>263</v>
      </c>
      <c r="L2" s="30" t="s">
        <v>255</v>
      </c>
    </row>
    <row r="3" spans="4:12" ht="29.5" thickBot="1" x14ac:dyDescent="0.4">
      <c r="D3" s="37" t="s">
        <v>462</v>
      </c>
      <c r="E3" s="49" t="s">
        <v>74</v>
      </c>
      <c r="F3" s="98" t="s">
        <v>30</v>
      </c>
      <c r="G3" s="43">
        <v>46083</v>
      </c>
      <c r="H3" s="98" t="s">
        <v>463</v>
      </c>
      <c r="I3" s="99">
        <v>2143916</v>
      </c>
      <c r="J3" s="36" t="s">
        <v>45</v>
      </c>
      <c r="K3" s="43">
        <v>46083</v>
      </c>
      <c r="L3" s="43" t="s">
        <v>266</v>
      </c>
    </row>
    <row r="4" spans="4:12" ht="29.5" thickBot="1" x14ac:dyDescent="0.4">
      <c r="D4" s="31" t="s">
        <v>50</v>
      </c>
      <c r="E4" s="50" t="s">
        <v>132</v>
      </c>
      <c r="F4" s="100" t="s">
        <v>464</v>
      </c>
      <c r="G4" s="42">
        <v>46032</v>
      </c>
      <c r="H4" s="100" t="s">
        <v>465</v>
      </c>
      <c r="I4" s="35">
        <v>118400000</v>
      </c>
      <c r="J4" s="36" t="s">
        <v>45</v>
      </c>
      <c r="K4" s="42">
        <v>46083</v>
      </c>
      <c r="L4" s="42" t="s">
        <v>266</v>
      </c>
    </row>
    <row r="5" spans="4:12" ht="29.5" thickBot="1" x14ac:dyDescent="0.4">
      <c r="D5" s="37" t="s">
        <v>280</v>
      </c>
      <c r="E5" s="49" t="s">
        <v>74</v>
      </c>
      <c r="F5" s="98" t="s">
        <v>30</v>
      </c>
      <c r="G5" s="43">
        <v>46083</v>
      </c>
      <c r="H5" s="98" t="s">
        <v>472</v>
      </c>
      <c r="I5" s="41">
        <v>481793</v>
      </c>
      <c r="J5" s="36" t="s">
        <v>45</v>
      </c>
      <c r="K5" s="43">
        <v>46083</v>
      </c>
      <c r="L5" s="43" t="s">
        <v>266</v>
      </c>
    </row>
    <row r="6" spans="4:12" ht="29.5" thickBot="1" x14ac:dyDescent="0.4">
      <c r="D6" s="31" t="s">
        <v>157</v>
      </c>
      <c r="E6" s="50" t="s">
        <v>473</v>
      </c>
      <c r="F6" s="100" t="s">
        <v>25</v>
      </c>
      <c r="G6" s="42">
        <v>46030</v>
      </c>
      <c r="H6" s="100" t="s">
        <v>474</v>
      </c>
      <c r="I6" s="35">
        <v>28036400</v>
      </c>
      <c r="J6" s="36" t="s">
        <v>45</v>
      </c>
      <c r="K6" s="42">
        <v>46083</v>
      </c>
      <c r="L6" s="42" t="s">
        <v>266</v>
      </c>
    </row>
    <row r="7" spans="4:12" ht="29.5" thickBot="1" x14ac:dyDescent="0.4">
      <c r="D7" s="37" t="s">
        <v>157</v>
      </c>
      <c r="E7" s="49" t="s">
        <v>475</v>
      </c>
      <c r="F7" s="98" t="s">
        <v>25</v>
      </c>
      <c r="G7" s="43">
        <v>46030</v>
      </c>
      <c r="H7" s="98" t="s">
        <v>476</v>
      </c>
      <c r="I7" s="41">
        <v>30987600</v>
      </c>
      <c r="J7" s="36" t="s">
        <v>45</v>
      </c>
      <c r="K7" s="43">
        <v>46083</v>
      </c>
      <c r="L7" s="43" t="s">
        <v>266</v>
      </c>
    </row>
    <row r="8" spans="4:12" ht="29.5" thickBot="1" x14ac:dyDescent="0.4">
      <c r="D8" s="31" t="s">
        <v>157</v>
      </c>
      <c r="E8" s="50" t="s">
        <v>477</v>
      </c>
      <c r="F8" s="100" t="s">
        <v>25</v>
      </c>
      <c r="G8" s="42">
        <v>46030</v>
      </c>
      <c r="H8" s="100" t="s">
        <v>478</v>
      </c>
      <c r="I8" s="35">
        <v>49063700</v>
      </c>
      <c r="J8" s="36" t="s">
        <v>45</v>
      </c>
      <c r="K8" s="42">
        <v>46083</v>
      </c>
      <c r="L8" s="42" t="s">
        <v>266</v>
      </c>
    </row>
    <row r="9" spans="4:12" ht="29.5" thickBot="1" x14ac:dyDescent="0.4">
      <c r="D9" s="37" t="s">
        <v>157</v>
      </c>
      <c r="E9" s="49" t="s">
        <v>479</v>
      </c>
      <c r="F9" s="98" t="s">
        <v>25</v>
      </c>
      <c r="G9" s="43">
        <v>46030</v>
      </c>
      <c r="H9" s="98" t="s">
        <v>480</v>
      </c>
      <c r="I9" s="41">
        <v>19182800</v>
      </c>
      <c r="J9" s="36" t="s">
        <v>45</v>
      </c>
      <c r="K9" s="43">
        <v>46083</v>
      </c>
      <c r="L9" s="43" t="s">
        <v>266</v>
      </c>
    </row>
    <row r="10" spans="4:12" ht="29.5" thickBot="1" x14ac:dyDescent="0.4">
      <c r="D10" s="31" t="s">
        <v>481</v>
      </c>
      <c r="E10" s="50" t="s">
        <v>74</v>
      </c>
      <c r="F10" s="100" t="s">
        <v>709</v>
      </c>
      <c r="G10" s="42">
        <v>46043</v>
      </c>
      <c r="H10" s="100" t="s">
        <v>482</v>
      </c>
      <c r="I10" s="35">
        <v>450000</v>
      </c>
      <c r="J10" s="36" t="s">
        <v>45</v>
      </c>
      <c r="K10" s="42">
        <v>46083</v>
      </c>
      <c r="L10" s="42" t="s">
        <v>266</v>
      </c>
    </row>
    <row r="11" spans="4:12" ht="131" thickBot="1" x14ac:dyDescent="0.4">
      <c r="D11" s="37" t="s">
        <v>105</v>
      </c>
      <c r="E11" s="49" t="s">
        <v>708</v>
      </c>
      <c r="F11" s="98" t="s">
        <v>25</v>
      </c>
      <c r="G11" s="43">
        <v>46043</v>
      </c>
      <c r="H11" s="98" t="s">
        <v>483</v>
      </c>
      <c r="I11" s="41">
        <v>81526900</v>
      </c>
      <c r="J11" s="36" t="s">
        <v>45</v>
      </c>
      <c r="K11" s="43">
        <v>46083</v>
      </c>
      <c r="L11" s="43" t="s">
        <v>266</v>
      </c>
    </row>
    <row r="12" spans="4:12" ht="82.5" thickBot="1" x14ac:dyDescent="0.4">
      <c r="D12" s="31" t="s">
        <v>162</v>
      </c>
      <c r="E12" s="50" t="s">
        <v>707</v>
      </c>
      <c r="F12" s="100" t="s">
        <v>25</v>
      </c>
      <c r="G12" s="42">
        <v>46004</v>
      </c>
      <c r="H12" s="100" t="s">
        <v>484</v>
      </c>
      <c r="I12" s="35">
        <v>21396200</v>
      </c>
      <c r="J12" s="36" t="s">
        <v>45</v>
      </c>
      <c r="K12" s="42">
        <v>46083</v>
      </c>
      <c r="L12" s="42" t="s">
        <v>266</v>
      </c>
    </row>
    <row r="13" spans="4:12" ht="15" thickBot="1" x14ac:dyDescent="0.4">
      <c r="D13" s="31" t="s">
        <v>73</v>
      </c>
      <c r="E13" s="50" t="s">
        <v>74</v>
      </c>
      <c r="F13" s="100" t="s">
        <v>709</v>
      </c>
      <c r="G13" s="42">
        <v>46037</v>
      </c>
      <c r="H13" s="100" t="s">
        <v>486</v>
      </c>
      <c r="I13" s="35">
        <v>2470000</v>
      </c>
      <c r="J13" s="36" t="s">
        <v>45</v>
      </c>
      <c r="K13" s="42">
        <v>46083</v>
      </c>
      <c r="L13" s="42" t="s">
        <v>266</v>
      </c>
    </row>
    <row r="14" spans="4:12" ht="15" thickBot="1" x14ac:dyDescent="0.4">
      <c r="D14" s="37" t="s">
        <v>73</v>
      </c>
      <c r="E14" s="49" t="s">
        <v>74</v>
      </c>
      <c r="F14" s="98" t="s">
        <v>709</v>
      </c>
      <c r="G14" s="43">
        <v>46037</v>
      </c>
      <c r="H14" s="98" t="s">
        <v>487</v>
      </c>
      <c r="I14" s="41">
        <v>507000</v>
      </c>
      <c r="J14" s="36" t="s">
        <v>45</v>
      </c>
      <c r="K14" s="43">
        <v>46083</v>
      </c>
      <c r="L14" s="43" t="s">
        <v>266</v>
      </c>
    </row>
    <row r="15" spans="4:12" ht="142.75" customHeight="1" thickBot="1" x14ac:dyDescent="0.4">
      <c r="D15" s="31" t="s">
        <v>73</v>
      </c>
      <c r="E15" s="50" t="s">
        <v>32</v>
      </c>
      <c r="F15" s="100" t="s">
        <v>709</v>
      </c>
      <c r="G15" s="42">
        <v>46049</v>
      </c>
      <c r="H15" s="100" t="s">
        <v>488</v>
      </c>
      <c r="I15" s="35">
        <v>550500</v>
      </c>
      <c r="J15" s="36" t="s">
        <v>45</v>
      </c>
      <c r="K15" s="42">
        <v>46083</v>
      </c>
      <c r="L15" s="42" t="s">
        <v>266</v>
      </c>
    </row>
    <row r="16" spans="4:12" ht="15" thickBot="1" x14ac:dyDescent="0.4">
      <c r="D16" s="37" t="s">
        <v>73</v>
      </c>
      <c r="E16" s="49" t="s">
        <v>32</v>
      </c>
      <c r="F16" s="98" t="s">
        <v>709</v>
      </c>
      <c r="G16" s="43">
        <v>46045</v>
      </c>
      <c r="H16" s="98" t="s">
        <v>489</v>
      </c>
      <c r="I16" s="41">
        <v>218000</v>
      </c>
      <c r="J16" s="36" t="s">
        <v>45</v>
      </c>
      <c r="K16" s="43">
        <v>46083</v>
      </c>
      <c r="L16" s="43" t="s">
        <v>266</v>
      </c>
    </row>
    <row r="17" spans="3:12" ht="79.25" customHeight="1" thickBot="1" x14ac:dyDescent="0.4">
      <c r="D17" s="31" t="s">
        <v>73</v>
      </c>
      <c r="E17" s="50" t="s">
        <v>74</v>
      </c>
      <c r="F17" s="100" t="s">
        <v>709</v>
      </c>
      <c r="G17" s="42">
        <v>46052</v>
      </c>
      <c r="H17" s="100" t="s">
        <v>490</v>
      </c>
      <c r="I17" s="35">
        <v>424000</v>
      </c>
      <c r="J17" s="36" t="s">
        <v>45</v>
      </c>
      <c r="K17" s="42">
        <v>46083</v>
      </c>
      <c r="L17" s="42" t="s">
        <v>266</v>
      </c>
    </row>
    <row r="18" spans="3:12" ht="15" thickBot="1" x14ac:dyDescent="0.4">
      <c r="D18" s="37" t="s">
        <v>73</v>
      </c>
      <c r="E18" s="49" t="s">
        <v>74</v>
      </c>
      <c r="F18" s="98" t="s">
        <v>709</v>
      </c>
      <c r="G18" s="43">
        <v>46059</v>
      </c>
      <c r="H18" s="98" t="s">
        <v>491</v>
      </c>
      <c r="I18" s="41">
        <v>1822500</v>
      </c>
      <c r="J18" s="36" t="s">
        <v>45</v>
      </c>
      <c r="K18" s="43">
        <v>46083</v>
      </c>
      <c r="L18" s="43" t="s">
        <v>266</v>
      </c>
    </row>
    <row r="19" spans="3:12" ht="15" thickBot="1" x14ac:dyDescent="0.4">
      <c r="D19" s="31" t="s">
        <v>73</v>
      </c>
      <c r="E19" s="50" t="s">
        <v>74</v>
      </c>
      <c r="F19" s="100" t="s">
        <v>709</v>
      </c>
      <c r="G19" s="42">
        <v>46062</v>
      </c>
      <c r="H19" s="100" t="s">
        <v>492</v>
      </c>
      <c r="I19" s="35">
        <v>353500</v>
      </c>
      <c r="J19" s="36" t="s">
        <v>45</v>
      </c>
      <c r="K19" s="42">
        <v>46083</v>
      </c>
      <c r="L19" s="42" t="s">
        <v>266</v>
      </c>
    </row>
    <row r="20" spans="3:12" ht="58.5" thickBot="1" x14ac:dyDescent="0.4">
      <c r="D20" s="37" t="s">
        <v>111</v>
      </c>
      <c r="E20" s="49" t="s">
        <v>84</v>
      </c>
      <c r="F20" s="98" t="s">
        <v>28</v>
      </c>
      <c r="G20" s="43">
        <v>46035</v>
      </c>
      <c r="H20" s="98" t="s">
        <v>86</v>
      </c>
      <c r="I20" s="41">
        <v>1150000</v>
      </c>
      <c r="J20" s="36" t="s">
        <v>45</v>
      </c>
      <c r="K20" s="43">
        <v>46083</v>
      </c>
      <c r="L20" s="43" t="s">
        <v>266</v>
      </c>
    </row>
    <row r="21" spans="3:12" ht="29.5" thickBot="1" x14ac:dyDescent="0.4">
      <c r="D21" s="31" t="s">
        <v>111</v>
      </c>
      <c r="E21" s="50" t="s">
        <v>493</v>
      </c>
      <c r="F21" s="100" t="s">
        <v>25</v>
      </c>
      <c r="G21" s="42">
        <v>46055</v>
      </c>
      <c r="H21" s="100" t="s">
        <v>494</v>
      </c>
      <c r="I21" s="35">
        <v>2533333</v>
      </c>
      <c r="J21" s="36" t="s">
        <v>45</v>
      </c>
      <c r="K21" s="42">
        <v>46083</v>
      </c>
      <c r="L21" s="42" t="s">
        <v>266</v>
      </c>
    </row>
    <row r="22" spans="3:12" ht="58.5" thickBot="1" x14ac:dyDescent="0.4">
      <c r="D22" s="37" t="s">
        <v>111</v>
      </c>
      <c r="E22" s="49" t="s">
        <v>84</v>
      </c>
      <c r="F22" s="98" t="s">
        <v>28</v>
      </c>
      <c r="G22" s="43">
        <v>46058</v>
      </c>
      <c r="H22" s="98" t="s">
        <v>86</v>
      </c>
      <c r="I22" s="41">
        <v>1071100</v>
      </c>
      <c r="J22" s="36" t="s">
        <v>45</v>
      </c>
      <c r="K22" s="43">
        <v>46083</v>
      </c>
      <c r="L22" s="43" t="s">
        <v>266</v>
      </c>
    </row>
    <row r="23" spans="3:12" ht="58.5" thickBot="1" x14ac:dyDescent="0.4">
      <c r="D23" s="31" t="s">
        <v>495</v>
      </c>
      <c r="E23" s="50" t="s">
        <v>710</v>
      </c>
      <c r="F23" s="100" t="s">
        <v>496</v>
      </c>
      <c r="G23" s="42">
        <v>46008</v>
      </c>
      <c r="H23" s="100" t="s">
        <v>497</v>
      </c>
      <c r="I23" s="35">
        <v>96517633</v>
      </c>
      <c r="J23" s="36" t="s">
        <v>45</v>
      </c>
      <c r="K23" s="42">
        <v>46083</v>
      </c>
      <c r="L23" s="42" t="s">
        <v>266</v>
      </c>
    </row>
    <row r="24" spans="3:12" ht="73" thickBot="1" x14ac:dyDescent="0.4">
      <c r="D24" s="37" t="s">
        <v>498</v>
      </c>
      <c r="E24" s="49" t="s">
        <v>499</v>
      </c>
      <c r="F24" s="98" t="s">
        <v>28</v>
      </c>
      <c r="G24" s="43">
        <v>46029</v>
      </c>
      <c r="H24" s="98" t="s">
        <v>500</v>
      </c>
      <c r="I24" s="41">
        <v>1666000</v>
      </c>
      <c r="J24" s="36" t="s">
        <v>45</v>
      </c>
      <c r="K24" s="43">
        <v>46083</v>
      </c>
      <c r="L24" s="43" t="s">
        <v>266</v>
      </c>
    </row>
    <row r="25" spans="3:12" ht="58.5" thickBot="1" x14ac:dyDescent="0.4">
      <c r="D25" s="31" t="s">
        <v>176</v>
      </c>
      <c r="E25" s="50" t="s">
        <v>502</v>
      </c>
      <c r="F25" s="100" t="s">
        <v>28</v>
      </c>
      <c r="G25" s="42">
        <v>45988</v>
      </c>
      <c r="H25" s="100" t="s">
        <v>503</v>
      </c>
      <c r="I25" s="35">
        <v>12321750</v>
      </c>
      <c r="J25" s="36" t="s">
        <v>45</v>
      </c>
      <c r="K25" s="42">
        <v>46083</v>
      </c>
      <c r="L25" s="42" t="s">
        <v>266</v>
      </c>
    </row>
    <row r="26" spans="3:12" ht="58.5" thickBot="1" x14ac:dyDescent="0.4">
      <c r="D26" s="37" t="s">
        <v>176</v>
      </c>
      <c r="E26" s="49" t="s">
        <v>504</v>
      </c>
      <c r="F26" s="98" t="s">
        <v>28</v>
      </c>
      <c r="G26" s="43">
        <v>46002</v>
      </c>
      <c r="H26" s="98" t="s">
        <v>505</v>
      </c>
      <c r="I26" s="41">
        <v>12357500</v>
      </c>
      <c r="J26" s="36" t="s">
        <v>45</v>
      </c>
      <c r="K26" s="43">
        <v>46083</v>
      </c>
      <c r="L26" s="43" t="s">
        <v>266</v>
      </c>
    </row>
    <row r="27" spans="3:12" ht="58.5" thickBot="1" x14ac:dyDescent="0.4">
      <c r="D27" s="31" t="s">
        <v>506</v>
      </c>
      <c r="E27" s="50" t="s">
        <v>507</v>
      </c>
      <c r="F27" s="100" t="s">
        <v>28</v>
      </c>
      <c r="G27" s="42">
        <v>46077</v>
      </c>
      <c r="H27" s="100" t="s">
        <v>508</v>
      </c>
      <c r="I27" s="35">
        <v>480251</v>
      </c>
      <c r="J27" s="36" t="s">
        <v>45</v>
      </c>
      <c r="K27" s="42">
        <v>46083</v>
      </c>
      <c r="L27" s="42" t="s">
        <v>266</v>
      </c>
    </row>
    <row r="28" spans="3:12" ht="44" thickBot="1" x14ac:dyDescent="0.4">
      <c r="C28" s="101"/>
      <c r="D28" s="37" t="s">
        <v>509</v>
      </c>
      <c r="E28" s="49" t="s">
        <v>510</v>
      </c>
      <c r="F28" s="98" t="s">
        <v>468</v>
      </c>
      <c r="G28" s="43">
        <v>46078</v>
      </c>
      <c r="H28" s="98" t="s">
        <v>511</v>
      </c>
      <c r="I28" s="41">
        <v>368900</v>
      </c>
      <c r="J28" s="36" t="s">
        <v>45</v>
      </c>
      <c r="K28" s="43">
        <v>46083</v>
      </c>
      <c r="L28" s="43" t="s">
        <v>266</v>
      </c>
    </row>
    <row r="29" spans="3:12" ht="97.75" customHeight="1" thickBot="1" x14ac:dyDescent="0.4">
      <c r="C29" s="101"/>
      <c r="D29" s="31" t="s">
        <v>512</v>
      </c>
      <c r="E29" s="50" t="s">
        <v>513</v>
      </c>
      <c r="F29" s="100" t="s">
        <v>28</v>
      </c>
      <c r="G29" s="42">
        <v>46080</v>
      </c>
      <c r="H29" s="100" t="s">
        <v>514</v>
      </c>
      <c r="I29" s="35">
        <v>2380000</v>
      </c>
      <c r="J29" s="36" t="s">
        <v>45</v>
      </c>
      <c r="K29" s="42">
        <v>46083</v>
      </c>
      <c r="L29" s="42" t="s">
        <v>266</v>
      </c>
    </row>
    <row r="30" spans="3:12" ht="29.5" thickBot="1" x14ac:dyDescent="0.4">
      <c r="C30" s="101"/>
      <c r="D30" s="37" t="s">
        <v>515</v>
      </c>
      <c r="E30" s="49" t="s">
        <v>516</v>
      </c>
      <c r="F30" s="98" t="s">
        <v>25</v>
      </c>
      <c r="G30" s="43">
        <v>46080</v>
      </c>
      <c r="H30" s="98" t="s">
        <v>517</v>
      </c>
      <c r="I30" s="41">
        <v>900000</v>
      </c>
      <c r="J30" s="36" t="s">
        <v>45</v>
      </c>
      <c r="K30" s="43">
        <v>46083</v>
      </c>
      <c r="L30" s="43" t="s">
        <v>266</v>
      </c>
    </row>
    <row r="31" spans="3:12" ht="87.5" thickBot="1" x14ac:dyDescent="0.4">
      <c r="C31" s="101"/>
      <c r="D31" s="31" t="s">
        <v>174</v>
      </c>
      <c r="E31" s="50" t="s">
        <v>521</v>
      </c>
      <c r="F31" s="100" t="s">
        <v>25</v>
      </c>
      <c r="G31" s="42">
        <v>46029</v>
      </c>
      <c r="H31" s="100" t="s">
        <v>522</v>
      </c>
      <c r="I31" s="35">
        <v>81526900</v>
      </c>
      <c r="J31" s="36" t="s">
        <v>45</v>
      </c>
      <c r="K31" s="42">
        <v>46084</v>
      </c>
      <c r="L31" s="42" t="s">
        <v>266</v>
      </c>
    </row>
    <row r="32" spans="3:12" ht="57" customHeight="1" thickBot="1" x14ac:dyDescent="0.4">
      <c r="D32" s="37" t="s">
        <v>140</v>
      </c>
      <c r="E32" s="49" t="s">
        <v>141</v>
      </c>
      <c r="F32" s="98" t="s">
        <v>142</v>
      </c>
      <c r="G32" s="43">
        <v>46086</v>
      </c>
      <c r="H32" s="98" t="s">
        <v>523</v>
      </c>
      <c r="I32" s="41">
        <v>111452000</v>
      </c>
      <c r="J32" s="36" t="s">
        <v>45</v>
      </c>
      <c r="K32" s="43">
        <v>46087</v>
      </c>
      <c r="L32" s="43" t="s">
        <v>266</v>
      </c>
    </row>
    <row r="33" spans="3:12" ht="61.75" customHeight="1" thickBot="1" x14ac:dyDescent="0.4">
      <c r="D33" s="31" t="s">
        <v>524</v>
      </c>
      <c r="E33" s="50" t="s">
        <v>525</v>
      </c>
      <c r="F33" s="100" t="s">
        <v>28</v>
      </c>
      <c r="G33" s="42">
        <v>46090</v>
      </c>
      <c r="H33" s="100" t="s">
        <v>526</v>
      </c>
      <c r="I33" s="35">
        <v>22773200</v>
      </c>
      <c r="J33" s="36" t="s">
        <v>45</v>
      </c>
      <c r="K33" s="42">
        <v>46089</v>
      </c>
      <c r="L33" s="42" t="s">
        <v>266</v>
      </c>
    </row>
    <row r="34" spans="3:12" ht="29.5" thickBot="1" x14ac:dyDescent="0.4">
      <c r="C34" s="101"/>
      <c r="D34" s="37" t="s">
        <v>527</v>
      </c>
      <c r="E34" s="49" t="s">
        <v>74</v>
      </c>
      <c r="F34" s="98" t="s">
        <v>30</v>
      </c>
      <c r="G34" s="43">
        <v>46086</v>
      </c>
      <c r="H34" s="98" t="s">
        <v>528</v>
      </c>
      <c r="I34" s="41">
        <v>9678917</v>
      </c>
      <c r="J34" s="36" t="s">
        <v>45</v>
      </c>
      <c r="K34" s="43">
        <v>46091</v>
      </c>
      <c r="L34" s="43" t="s">
        <v>266</v>
      </c>
    </row>
    <row r="35" spans="3:12" ht="60.65" customHeight="1" thickBot="1" x14ac:dyDescent="0.4">
      <c r="C35" s="101"/>
      <c r="D35" s="31" t="s">
        <v>529</v>
      </c>
      <c r="E35" s="50" t="s">
        <v>74</v>
      </c>
      <c r="F35" s="100" t="s">
        <v>496</v>
      </c>
      <c r="G35" s="42">
        <v>46086</v>
      </c>
      <c r="H35" s="100" t="s">
        <v>530</v>
      </c>
      <c r="I35" s="35">
        <v>323680</v>
      </c>
      <c r="J35" s="36" t="s">
        <v>45</v>
      </c>
      <c r="K35" s="42">
        <v>46091</v>
      </c>
      <c r="L35" s="42" t="s">
        <v>266</v>
      </c>
    </row>
    <row r="36" spans="3:12" ht="44" thickBot="1" x14ac:dyDescent="0.4">
      <c r="C36" s="101"/>
      <c r="D36" s="37" t="s">
        <v>531</v>
      </c>
      <c r="E36" s="49" t="s">
        <v>532</v>
      </c>
      <c r="F36" s="98" t="s">
        <v>126</v>
      </c>
      <c r="G36" s="43">
        <v>46086</v>
      </c>
      <c r="H36" s="98" t="s">
        <v>533</v>
      </c>
      <c r="I36" s="41">
        <v>234000</v>
      </c>
      <c r="J36" s="36" t="s">
        <v>45</v>
      </c>
      <c r="K36" s="43">
        <v>46091</v>
      </c>
      <c r="L36" s="43" t="s">
        <v>266</v>
      </c>
    </row>
    <row r="37" spans="3:12" ht="58.5" thickBot="1" x14ac:dyDescent="0.4">
      <c r="C37" s="101"/>
      <c r="D37" s="31" t="s">
        <v>135</v>
      </c>
      <c r="E37" s="50" t="s">
        <v>272</v>
      </c>
      <c r="F37" s="100" t="s">
        <v>534</v>
      </c>
      <c r="G37" s="42">
        <v>46090</v>
      </c>
      <c r="H37" s="100" t="s">
        <v>535</v>
      </c>
      <c r="I37" s="35">
        <v>321300</v>
      </c>
      <c r="J37" s="36" t="s">
        <v>45</v>
      </c>
      <c r="K37" s="42">
        <v>46091</v>
      </c>
      <c r="L37" s="42" t="s">
        <v>266</v>
      </c>
    </row>
    <row r="38" spans="3:12" ht="58.5" thickBot="1" x14ac:dyDescent="0.4">
      <c r="C38" s="101"/>
      <c r="D38" s="31" t="s">
        <v>71</v>
      </c>
      <c r="E38" s="50" t="s">
        <v>272</v>
      </c>
      <c r="F38" s="100" t="s">
        <v>534</v>
      </c>
      <c r="G38" s="42">
        <v>46069</v>
      </c>
      <c r="H38" s="100" t="s">
        <v>543</v>
      </c>
      <c r="I38" s="35">
        <v>240100</v>
      </c>
      <c r="J38" s="36" t="s">
        <v>45</v>
      </c>
      <c r="K38" s="42">
        <v>46092</v>
      </c>
      <c r="L38" s="42" t="s">
        <v>266</v>
      </c>
    </row>
    <row r="39" spans="3:12" ht="58.5" thickBot="1" x14ac:dyDescent="0.4">
      <c r="C39" s="101"/>
      <c r="D39" s="37" t="s">
        <v>71</v>
      </c>
      <c r="E39" s="49" t="s">
        <v>272</v>
      </c>
      <c r="F39" s="98" t="s">
        <v>534</v>
      </c>
      <c r="G39" s="43">
        <v>46088</v>
      </c>
      <c r="H39" s="98" t="s">
        <v>544</v>
      </c>
      <c r="I39" s="41">
        <v>836229</v>
      </c>
      <c r="J39" s="36" t="s">
        <v>45</v>
      </c>
      <c r="K39" s="43">
        <v>46092</v>
      </c>
      <c r="L39" s="43" t="s">
        <v>266</v>
      </c>
    </row>
    <row r="40" spans="3:12" ht="123" customHeight="1" thickBot="1" x14ac:dyDescent="0.4">
      <c r="D40" s="37" t="s">
        <v>271</v>
      </c>
      <c r="E40" s="49" t="s">
        <v>84</v>
      </c>
      <c r="F40" s="98" t="s">
        <v>28</v>
      </c>
      <c r="G40" s="43">
        <v>46070</v>
      </c>
      <c r="H40" s="98" t="s">
        <v>86</v>
      </c>
      <c r="I40" s="41">
        <v>1000000</v>
      </c>
      <c r="J40" s="36" t="s">
        <v>45</v>
      </c>
      <c r="K40" s="43">
        <v>46094</v>
      </c>
      <c r="L40" s="43" t="s">
        <v>266</v>
      </c>
    </row>
    <row r="41" spans="3:12" ht="58.5" thickBot="1" x14ac:dyDescent="0.4">
      <c r="C41" s="101"/>
      <c r="D41" s="31" t="s">
        <v>286</v>
      </c>
      <c r="E41" s="50" t="s">
        <v>399</v>
      </c>
      <c r="F41" s="100" t="s">
        <v>29</v>
      </c>
      <c r="G41" s="42">
        <v>46065</v>
      </c>
      <c r="H41" s="100" t="s">
        <v>545</v>
      </c>
      <c r="I41" s="35">
        <v>1738080</v>
      </c>
      <c r="J41" s="36" t="s">
        <v>45</v>
      </c>
      <c r="K41" s="42">
        <v>46094</v>
      </c>
      <c r="L41" s="42" t="s">
        <v>266</v>
      </c>
    </row>
    <row r="42" spans="3:12" ht="29.5" thickBot="1" x14ac:dyDescent="0.4">
      <c r="C42" s="101"/>
      <c r="D42" s="31" t="s">
        <v>295</v>
      </c>
      <c r="E42" s="50" t="s">
        <v>548</v>
      </c>
      <c r="F42" s="100" t="s">
        <v>85</v>
      </c>
      <c r="G42" s="42">
        <v>46084</v>
      </c>
      <c r="H42" s="100" t="s">
        <v>549</v>
      </c>
      <c r="I42" s="35">
        <v>3748500</v>
      </c>
      <c r="J42" s="36" t="s">
        <v>45</v>
      </c>
      <c r="K42" s="42">
        <v>46094</v>
      </c>
      <c r="L42" s="42" t="s">
        <v>266</v>
      </c>
    </row>
    <row r="43" spans="3:12" ht="29.5" thickBot="1" x14ac:dyDescent="0.4">
      <c r="C43" s="101"/>
      <c r="D43" s="37" t="s">
        <v>295</v>
      </c>
      <c r="E43" s="49" t="s">
        <v>550</v>
      </c>
      <c r="F43" s="98" t="s">
        <v>85</v>
      </c>
      <c r="G43" s="43">
        <v>46056</v>
      </c>
      <c r="H43" s="98" t="s">
        <v>551</v>
      </c>
      <c r="I43" s="41">
        <v>3748500</v>
      </c>
      <c r="J43" s="36" t="s">
        <v>45</v>
      </c>
      <c r="K43" s="43">
        <v>46094</v>
      </c>
      <c r="L43" s="43" t="s">
        <v>266</v>
      </c>
    </row>
    <row r="44" spans="3:12" ht="58.5" thickBot="1" x14ac:dyDescent="0.4">
      <c r="C44" s="101"/>
      <c r="D44" s="31" t="s">
        <v>116</v>
      </c>
      <c r="E44" s="50" t="s">
        <v>552</v>
      </c>
      <c r="F44" s="100" t="s">
        <v>28</v>
      </c>
      <c r="G44" s="42">
        <v>46069</v>
      </c>
      <c r="H44" s="100" t="s">
        <v>553</v>
      </c>
      <c r="I44" s="35">
        <v>1400000</v>
      </c>
      <c r="J44" s="36" t="s">
        <v>45</v>
      </c>
      <c r="K44" s="42">
        <v>46094</v>
      </c>
      <c r="L44" s="42" t="s">
        <v>266</v>
      </c>
    </row>
    <row r="45" spans="3:12" ht="15" thickBot="1" x14ac:dyDescent="0.4">
      <c r="C45" s="101"/>
      <c r="D45" s="37" t="s">
        <v>195</v>
      </c>
      <c r="E45" s="49" t="s">
        <v>554</v>
      </c>
      <c r="F45" s="98" t="s">
        <v>555</v>
      </c>
      <c r="G45" s="43">
        <v>46070</v>
      </c>
      <c r="H45" s="98" t="s">
        <v>556</v>
      </c>
      <c r="I45" s="41">
        <v>4000000</v>
      </c>
      <c r="J45" s="36" t="s">
        <v>45</v>
      </c>
      <c r="K45" s="43">
        <v>46094</v>
      </c>
      <c r="L45" s="43" t="s">
        <v>266</v>
      </c>
    </row>
    <row r="46" spans="3:12" ht="58.5" thickBot="1" x14ac:dyDescent="0.4">
      <c r="C46" s="101"/>
      <c r="D46" s="31" t="s">
        <v>122</v>
      </c>
      <c r="E46" s="50" t="s">
        <v>123</v>
      </c>
      <c r="F46" s="100" t="s">
        <v>534</v>
      </c>
      <c r="G46" s="42">
        <v>46056</v>
      </c>
      <c r="H46" s="100" t="s">
        <v>557</v>
      </c>
      <c r="I46" s="35">
        <v>868000</v>
      </c>
      <c r="J46" s="36" t="s">
        <v>45</v>
      </c>
      <c r="K46" s="42">
        <v>46094</v>
      </c>
      <c r="L46" s="42" t="s">
        <v>266</v>
      </c>
    </row>
    <row r="47" spans="3:12" ht="29.5" thickBot="1" x14ac:dyDescent="0.4">
      <c r="D47" s="37" t="s">
        <v>558</v>
      </c>
      <c r="E47" s="49" t="s">
        <v>559</v>
      </c>
      <c r="F47" s="98" t="s">
        <v>25</v>
      </c>
      <c r="G47" s="43">
        <v>46044</v>
      </c>
      <c r="H47" s="98" t="s">
        <v>560</v>
      </c>
      <c r="I47" s="41">
        <v>9616000</v>
      </c>
      <c r="J47" s="36" t="s">
        <v>45</v>
      </c>
      <c r="K47" s="43">
        <v>46094</v>
      </c>
      <c r="L47" s="43" t="s">
        <v>266</v>
      </c>
    </row>
    <row r="48" spans="3:12" ht="58.5" thickBot="1" x14ac:dyDescent="0.4">
      <c r="D48" s="37" t="s">
        <v>176</v>
      </c>
      <c r="E48" s="49" t="s">
        <v>562</v>
      </c>
      <c r="F48" s="98" t="s">
        <v>28</v>
      </c>
      <c r="G48" s="43">
        <v>46058</v>
      </c>
      <c r="H48" s="98" t="s">
        <v>563</v>
      </c>
      <c r="I48" s="41">
        <v>400000</v>
      </c>
      <c r="J48" s="36" t="s">
        <v>45</v>
      </c>
      <c r="K48" s="43">
        <v>46094</v>
      </c>
      <c r="L48" s="43" t="s">
        <v>266</v>
      </c>
    </row>
    <row r="49" spans="3:12" ht="29.5" thickBot="1" x14ac:dyDescent="0.4">
      <c r="C49" s="101"/>
      <c r="D49" s="31" t="s">
        <v>131</v>
      </c>
      <c r="E49" s="50" t="s">
        <v>564</v>
      </c>
      <c r="F49" s="100" t="s">
        <v>464</v>
      </c>
      <c r="G49" s="42">
        <v>46042</v>
      </c>
      <c r="H49" s="100" t="s">
        <v>565</v>
      </c>
      <c r="I49" s="35">
        <v>56000000</v>
      </c>
      <c r="J49" s="36" t="s">
        <v>45</v>
      </c>
      <c r="K49" s="42">
        <v>46094</v>
      </c>
      <c r="L49" s="42" t="s">
        <v>266</v>
      </c>
    </row>
    <row r="50" spans="3:12" ht="58.5" thickBot="1" x14ac:dyDescent="0.4">
      <c r="C50" s="101"/>
      <c r="D50" s="37" t="s">
        <v>566</v>
      </c>
      <c r="E50" s="49" t="s">
        <v>567</v>
      </c>
      <c r="F50" s="98" t="s">
        <v>29</v>
      </c>
      <c r="G50" s="43">
        <v>46051</v>
      </c>
      <c r="H50" s="98" t="s">
        <v>568</v>
      </c>
      <c r="I50" s="41">
        <v>1727856</v>
      </c>
      <c r="J50" s="36" t="s">
        <v>45</v>
      </c>
      <c r="K50" s="43">
        <v>46094</v>
      </c>
      <c r="L50" s="43" t="s">
        <v>266</v>
      </c>
    </row>
    <row r="51" spans="3:12" ht="58.5" thickBot="1" x14ac:dyDescent="0.4">
      <c r="C51" s="101"/>
      <c r="D51" s="31" t="s">
        <v>569</v>
      </c>
      <c r="E51" s="50" t="s">
        <v>570</v>
      </c>
      <c r="F51" s="100" t="s">
        <v>29</v>
      </c>
      <c r="G51" s="42">
        <v>46045</v>
      </c>
      <c r="H51" s="100" t="s">
        <v>571</v>
      </c>
      <c r="I51" s="35">
        <v>7282800</v>
      </c>
      <c r="J51" s="36" t="s">
        <v>45</v>
      </c>
      <c r="K51" s="42">
        <v>46094</v>
      </c>
      <c r="L51" s="42" t="s">
        <v>266</v>
      </c>
    </row>
    <row r="52" spans="3:12" ht="58.5" thickBot="1" x14ac:dyDescent="0.4">
      <c r="C52" s="101"/>
      <c r="D52" s="37" t="s">
        <v>569</v>
      </c>
      <c r="E52" s="49" t="s">
        <v>570</v>
      </c>
      <c r="F52" s="98" t="s">
        <v>29</v>
      </c>
      <c r="G52" s="43">
        <v>46045</v>
      </c>
      <c r="H52" s="98" t="s">
        <v>572</v>
      </c>
      <c r="I52" s="41">
        <v>3541440</v>
      </c>
      <c r="J52" s="36" t="s">
        <v>45</v>
      </c>
      <c r="K52" s="43">
        <v>46094</v>
      </c>
      <c r="L52" s="43" t="s">
        <v>266</v>
      </c>
    </row>
    <row r="53" spans="3:12" ht="58.5" thickBot="1" x14ac:dyDescent="0.4">
      <c r="D53" s="31" t="s">
        <v>569</v>
      </c>
      <c r="E53" s="50" t="s">
        <v>570</v>
      </c>
      <c r="F53" s="100" t="s">
        <v>29</v>
      </c>
      <c r="G53" s="42">
        <v>46045</v>
      </c>
      <c r="H53" s="100" t="s">
        <v>573</v>
      </c>
      <c r="I53" s="35">
        <v>2656080</v>
      </c>
      <c r="J53" s="36" t="s">
        <v>45</v>
      </c>
      <c r="K53" s="42">
        <v>46094</v>
      </c>
      <c r="L53" s="42" t="s">
        <v>266</v>
      </c>
    </row>
    <row r="54" spans="3:12" ht="58.5" thickBot="1" x14ac:dyDescent="0.4">
      <c r="D54" s="37" t="s">
        <v>569</v>
      </c>
      <c r="E54" s="49" t="s">
        <v>570</v>
      </c>
      <c r="F54" s="98" t="s">
        <v>29</v>
      </c>
      <c r="G54" s="43">
        <v>46045</v>
      </c>
      <c r="H54" s="98" t="s">
        <v>574</v>
      </c>
      <c r="I54" s="41">
        <v>2213400</v>
      </c>
      <c r="J54" s="36" t="s">
        <v>45</v>
      </c>
      <c r="K54" s="43">
        <v>46094</v>
      </c>
      <c r="L54" s="43" t="s">
        <v>266</v>
      </c>
    </row>
    <row r="55" spans="3:12" ht="58.5" thickBot="1" x14ac:dyDescent="0.4">
      <c r="D55" s="31" t="s">
        <v>569</v>
      </c>
      <c r="E55" s="50" t="s">
        <v>570</v>
      </c>
      <c r="F55" s="100" t="s">
        <v>29</v>
      </c>
      <c r="G55" s="42">
        <v>46045</v>
      </c>
      <c r="H55" s="100" t="s">
        <v>575</v>
      </c>
      <c r="I55" s="35">
        <v>1770720</v>
      </c>
      <c r="J55" s="36" t="s">
        <v>45</v>
      </c>
      <c r="K55" s="42">
        <v>46094</v>
      </c>
      <c r="L55" s="42" t="s">
        <v>266</v>
      </c>
    </row>
    <row r="56" spans="3:12" ht="58.5" thickBot="1" x14ac:dyDescent="0.4">
      <c r="C56" s="101"/>
      <c r="D56" s="37" t="s">
        <v>569</v>
      </c>
      <c r="E56" s="49" t="s">
        <v>570</v>
      </c>
      <c r="F56" s="98" t="s">
        <v>29</v>
      </c>
      <c r="G56" s="43">
        <v>46045</v>
      </c>
      <c r="H56" s="98" t="s">
        <v>576</v>
      </c>
      <c r="I56" s="41">
        <v>885360</v>
      </c>
      <c r="J56" s="36" t="s">
        <v>45</v>
      </c>
      <c r="K56" s="43">
        <v>46094</v>
      </c>
      <c r="L56" s="43" t="s">
        <v>266</v>
      </c>
    </row>
    <row r="57" spans="3:12" ht="15" thickBot="1" x14ac:dyDescent="0.4">
      <c r="C57" s="101"/>
      <c r="D57" s="31" t="s">
        <v>577</v>
      </c>
      <c r="E57" s="50" t="s">
        <v>74</v>
      </c>
      <c r="F57" s="100" t="s">
        <v>709</v>
      </c>
      <c r="G57" s="42">
        <v>46080</v>
      </c>
      <c r="H57" s="100" t="s">
        <v>578</v>
      </c>
      <c r="I57" s="35">
        <v>188996</v>
      </c>
      <c r="J57" s="36" t="s">
        <v>45</v>
      </c>
      <c r="K57" s="42">
        <v>46094</v>
      </c>
      <c r="L57" s="42" t="s">
        <v>266</v>
      </c>
    </row>
    <row r="58" spans="3:12" ht="29.5" thickBot="1" x14ac:dyDescent="0.4">
      <c r="C58" s="101"/>
      <c r="D58" s="31" t="s">
        <v>580</v>
      </c>
      <c r="E58" s="50" t="s">
        <v>74</v>
      </c>
      <c r="F58" s="100" t="s">
        <v>709</v>
      </c>
      <c r="G58" s="42">
        <v>46092</v>
      </c>
      <c r="H58" s="100" t="s">
        <v>581</v>
      </c>
      <c r="I58" s="35">
        <v>1485120</v>
      </c>
      <c r="J58" s="36" t="s">
        <v>45</v>
      </c>
      <c r="K58" s="42">
        <v>46094</v>
      </c>
      <c r="L58" s="42" t="s">
        <v>266</v>
      </c>
    </row>
    <row r="59" spans="3:12" ht="29.5" thickBot="1" x14ac:dyDescent="0.4">
      <c r="C59" s="101"/>
      <c r="D59" s="37" t="s">
        <v>582</v>
      </c>
      <c r="E59" s="49" t="s">
        <v>74</v>
      </c>
      <c r="F59" s="98" t="s">
        <v>74</v>
      </c>
      <c r="G59" s="43">
        <v>46092</v>
      </c>
      <c r="H59" s="98" t="s">
        <v>583</v>
      </c>
      <c r="I59" s="41">
        <v>595000</v>
      </c>
      <c r="J59" s="36" t="s">
        <v>45</v>
      </c>
      <c r="K59" s="43">
        <v>46094</v>
      </c>
      <c r="L59" s="43" t="s">
        <v>266</v>
      </c>
    </row>
    <row r="60" spans="3:12" ht="58.5" thickBot="1" x14ac:dyDescent="0.4">
      <c r="C60" s="101"/>
      <c r="D60" s="31" t="s">
        <v>427</v>
      </c>
      <c r="E60" s="50" t="s">
        <v>272</v>
      </c>
      <c r="F60" s="100" t="s">
        <v>534</v>
      </c>
      <c r="G60" s="42">
        <v>46069</v>
      </c>
      <c r="H60" s="100" t="s">
        <v>581</v>
      </c>
      <c r="I60" s="35">
        <v>1125740</v>
      </c>
      <c r="J60" s="36" t="s">
        <v>45</v>
      </c>
      <c r="K60" s="42">
        <v>46094</v>
      </c>
      <c r="L60" s="42" t="s">
        <v>266</v>
      </c>
    </row>
    <row r="61" spans="3:12" ht="58.5" thickBot="1" x14ac:dyDescent="0.4">
      <c r="C61" s="101"/>
      <c r="D61" s="102" t="s">
        <v>46</v>
      </c>
      <c r="E61" s="134" t="s">
        <v>584</v>
      </c>
      <c r="F61" s="103" t="s">
        <v>534</v>
      </c>
      <c r="G61" s="104">
        <v>46096</v>
      </c>
      <c r="H61" s="103" t="s">
        <v>585</v>
      </c>
      <c r="I61" s="105">
        <v>209605754</v>
      </c>
      <c r="J61" s="36" t="s">
        <v>45</v>
      </c>
      <c r="K61" s="104">
        <v>46096</v>
      </c>
      <c r="L61" s="104" t="s">
        <v>266</v>
      </c>
    </row>
    <row r="62" spans="3:12" ht="29.5" thickBot="1" x14ac:dyDescent="0.4">
      <c r="C62" s="101"/>
      <c r="D62" s="37" t="s">
        <v>87</v>
      </c>
      <c r="E62" s="49" t="s">
        <v>74</v>
      </c>
      <c r="F62" s="98" t="s">
        <v>126</v>
      </c>
      <c r="G62" s="43">
        <v>46097</v>
      </c>
      <c r="H62" s="98" t="s">
        <v>586</v>
      </c>
      <c r="I62" s="41">
        <v>1149998</v>
      </c>
      <c r="J62" s="36" t="s">
        <v>45</v>
      </c>
      <c r="K62" s="43">
        <v>46099</v>
      </c>
      <c r="L62" s="43" t="s">
        <v>266</v>
      </c>
    </row>
    <row r="63" spans="3:12" ht="29.5" thickBot="1" x14ac:dyDescent="0.4">
      <c r="D63" s="31" t="s">
        <v>280</v>
      </c>
      <c r="E63" s="50" t="s">
        <v>74</v>
      </c>
      <c r="F63" s="100" t="s">
        <v>30</v>
      </c>
      <c r="G63" s="42">
        <v>46098</v>
      </c>
      <c r="H63" s="100" t="s">
        <v>587</v>
      </c>
      <c r="I63" s="35">
        <v>354979</v>
      </c>
      <c r="J63" s="36" t="s">
        <v>45</v>
      </c>
      <c r="K63" s="42">
        <v>46099</v>
      </c>
      <c r="L63" s="42" t="s">
        <v>266</v>
      </c>
    </row>
    <row r="64" spans="3:12" ht="58.5" thickBot="1" x14ac:dyDescent="0.4">
      <c r="D64" s="37" t="s">
        <v>135</v>
      </c>
      <c r="E64" s="49" t="s">
        <v>272</v>
      </c>
      <c r="F64" s="98" t="s">
        <v>534</v>
      </c>
      <c r="G64" s="43">
        <v>46098</v>
      </c>
      <c r="H64" s="98" t="s">
        <v>588</v>
      </c>
      <c r="I64" s="41">
        <v>2561594</v>
      </c>
      <c r="J64" s="36" t="s">
        <v>45</v>
      </c>
      <c r="K64" s="43">
        <v>46099</v>
      </c>
      <c r="L64" s="43" t="s">
        <v>266</v>
      </c>
    </row>
    <row r="65" spans="3:12" ht="29.5" thickBot="1" x14ac:dyDescent="0.4">
      <c r="D65" s="31" t="s">
        <v>589</v>
      </c>
      <c r="E65" s="50" t="s">
        <v>74</v>
      </c>
      <c r="F65" s="100" t="s">
        <v>126</v>
      </c>
      <c r="G65" s="42">
        <v>46098</v>
      </c>
      <c r="H65" s="100" t="s">
        <v>590</v>
      </c>
      <c r="I65" s="35">
        <v>1413125</v>
      </c>
      <c r="J65" s="36" t="s">
        <v>45</v>
      </c>
      <c r="K65" s="42">
        <v>46099</v>
      </c>
      <c r="L65" s="42" t="s">
        <v>266</v>
      </c>
    </row>
    <row r="66" spans="3:12" ht="57.65" customHeight="1" thickBot="1" x14ac:dyDescent="0.4">
      <c r="D66" s="37" t="s">
        <v>591</v>
      </c>
      <c r="E66" s="49" t="s">
        <v>74</v>
      </c>
      <c r="F66" s="98" t="s">
        <v>534</v>
      </c>
      <c r="G66" s="43">
        <v>46095</v>
      </c>
      <c r="H66" s="98" t="s">
        <v>592</v>
      </c>
      <c r="I66" s="41">
        <v>1713600</v>
      </c>
      <c r="J66" s="36" t="s">
        <v>45</v>
      </c>
      <c r="K66" s="43">
        <v>46099</v>
      </c>
      <c r="L66" s="43" t="s">
        <v>266</v>
      </c>
    </row>
    <row r="67" spans="3:12" ht="58.5" thickBot="1" x14ac:dyDescent="0.4">
      <c r="D67" s="31" t="s">
        <v>593</v>
      </c>
      <c r="E67" s="50" t="s">
        <v>706</v>
      </c>
      <c r="F67" s="100" t="s">
        <v>28</v>
      </c>
      <c r="G67" s="42">
        <v>46099</v>
      </c>
      <c r="H67" s="100" t="s">
        <v>594</v>
      </c>
      <c r="I67" s="35">
        <v>31584074</v>
      </c>
      <c r="J67" s="36" t="s">
        <v>45</v>
      </c>
      <c r="K67" s="42">
        <v>46099</v>
      </c>
      <c r="L67" s="42" t="s">
        <v>266</v>
      </c>
    </row>
    <row r="68" spans="3:12" ht="58.5" thickBot="1" x14ac:dyDescent="0.4">
      <c r="D68" s="37" t="s">
        <v>77</v>
      </c>
      <c r="E68" s="49" t="s">
        <v>595</v>
      </c>
      <c r="F68" s="98" t="s">
        <v>28</v>
      </c>
      <c r="G68" s="43">
        <v>46091</v>
      </c>
      <c r="H68" s="98" t="s">
        <v>596</v>
      </c>
      <c r="I68" s="41">
        <v>3600000</v>
      </c>
      <c r="J68" s="36" t="s">
        <v>45</v>
      </c>
      <c r="K68" s="43">
        <v>46101</v>
      </c>
      <c r="L68" s="43" t="s">
        <v>266</v>
      </c>
    </row>
    <row r="69" spans="3:12" ht="58.5" thickBot="1" x14ac:dyDescent="0.4">
      <c r="D69" s="31" t="s">
        <v>314</v>
      </c>
      <c r="E69" s="50" t="s">
        <v>84</v>
      </c>
      <c r="F69" s="100" t="s">
        <v>28</v>
      </c>
      <c r="G69" s="42">
        <v>46093</v>
      </c>
      <c r="H69" s="100" t="s">
        <v>86</v>
      </c>
      <c r="I69" s="35">
        <v>14109711</v>
      </c>
      <c r="J69" s="36" t="s">
        <v>45</v>
      </c>
      <c r="K69" s="42">
        <v>46101</v>
      </c>
      <c r="L69" s="42" t="s">
        <v>266</v>
      </c>
    </row>
    <row r="70" spans="3:12" ht="29.5" thickBot="1" x14ac:dyDescent="0.4">
      <c r="D70" s="37" t="s">
        <v>435</v>
      </c>
      <c r="E70" s="49" t="s">
        <v>74</v>
      </c>
      <c r="F70" s="98" t="s">
        <v>30</v>
      </c>
      <c r="G70" s="43">
        <v>46097</v>
      </c>
      <c r="H70" s="98" t="s">
        <v>597</v>
      </c>
      <c r="I70" s="41">
        <v>218960</v>
      </c>
      <c r="J70" s="36" t="s">
        <v>45</v>
      </c>
      <c r="K70" s="43">
        <v>46101</v>
      </c>
      <c r="L70" s="43" t="s">
        <v>266</v>
      </c>
    </row>
    <row r="71" spans="3:12" ht="29.5" thickBot="1" x14ac:dyDescent="0.4">
      <c r="D71" s="31" t="s">
        <v>577</v>
      </c>
      <c r="E71" s="50" t="s">
        <v>74</v>
      </c>
      <c r="F71" s="100" t="s">
        <v>709</v>
      </c>
      <c r="G71" s="42">
        <v>46098</v>
      </c>
      <c r="H71" s="100" t="s">
        <v>598</v>
      </c>
      <c r="I71" s="35">
        <v>1118600</v>
      </c>
      <c r="J71" s="36" t="s">
        <v>45</v>
      </c>
      <c r="K71" s="42">
        <v>46101</v>
      </c>
      <c r="L71" s="42" t="s">
        <v>266</v>
      </c>
    </row>
    <row r="72" spans="3:12" ht="58.5" thickBot="1" x14ac:dyDescent="0.4">
      <c r="D72" s="37" t="s">
        <v>599</v>
      </c>
      <c r="E72" s="49" t="s">
        <v>600</v>
      </c>
      <c r="F72" s="98" t="s">
        <v>534</v>
      </c>
      <c r="G72" s="43">
        <v>46093</v>
      </c>
      <c r="H72" s="98" t="s">
        <v>601</v>
      </c>
      <c r="I72" s="41">
        <v>333200</v>
      </c>
      <c r="J72" s="36" t="s">
        <v>45</v>
      </c>
      <c r="K72" s="43">
        <v>46101</v>
      </c>
      <c r="L72" s="43" t="s">
        <v>266</v>
      </c>
    </row>
    <row r="73" spans="3:12" ht="29.5" thickBot="1" x14ac:dyDescent="0.4">
      <c r="D73" s="31" t="s">
        <v>602</v>
      </c>
      <c r="E73" s="50" t="s">
        <v>74</v>
      </c>
      <c r="F73" s="100" t="s">
        <v>709</v>
      </c>
      <c r="G73" s="42">
        <v>46100</v>
      </c>
      <c r="H73" s="100" t="s">
        <v>603</v>
      </c>
      <c r="I73" s="35">
        <v>5348000</v>
      </c>
      <c r="J73" s="36" t="s">
        <v>45</v>
      </c>
      <c r="K73" s="42">
        <v>46101</v>
      </c>
      <c r="L73" s="42" t="s">
        <v>266</v>
      </c>
    </row>
    <row r="74" spans="3:12" ht="29.5" thickBot="1" x14ac:dyDescent="0.4">
      <c r="D74" s="37" t="s">
        <v>462</v>
      </c>
      <c r="E74" s="49" t="s">
        <v>74</v>
      </c>
      <c r="F74" s="98" t="s">
        <v>30</v>
      </c>
      <c r="G74" s="43">
        <v>46100</v>
      </c>
      <c r="H74" s="98" t="s">
        <v>604</v>
      </c>
      <c r="I74" s="41">
        <v>5689486</v>
      </c>
      <c r="J74" s="36" t="s">
        <v>45</v>
      </c>
      <c r="K74" s="43">
        <v>46101</v>
      </c>
      <c r="L74" s="43" t="s">
        <v>266</v>
      </c>
    </row>
    <row r="75" spans="3:12" ht="29.5" thickBot="1" x14ac:dyDescent="0.4">
      <c r="C75" s="101"/>
      <c r="D75" s="31" t="s">
        <v>428</v>
      </c>
      <c r="E75" s="50" t="s">
        <v>74</v>
      </c>
      <c r="F75" s="100" t="s">
        <v>709</v>
      </c>
      <c r="G75" s="42">
        <v>46100</v>
      </c>
      <c r="H75" s="100" t="s">
        <v>605</v>
      </c>
      <c r="I75" s="35">
        <v>2430000</v>
      </c>
      <c r="J75" s="36" t="s">
        <v>45</v>
      </c>
      <c r="K75" s="42">
        <v>46101</v>
      </c>
      <c r="L75" s="42" t="s">
        <v>266</v>
      </c>
    </row>
    <row r="76" spans="3:12" ht="58.5" thickBot="1" x14ac:dyDescent="0.4">
      <c r="C76" s="101"/>
      <c r="D76" s="37" t="s">
        <v>606</v>
      </c>
      <c r="E76" s="49" t="s">
        <v>74</v>
      </c>
      <c r="F76" s="98" t="s">
        <v>534</v>
      </c>
      <c r="G76" s="43">
        <v>46097</v>
      </c>
      <c r="H76" s="98" t="s">
        <v>607</v>
      </c>
      <c r="I76" s="41">
        <v>1620002</v>
      </c>
      <c r="J76" s="36" t="s">
        <v>45</v>
      </c>
      <c r="K76" s="43">
        <v>46101</v>
      </c>
      <c r="L76" s="43" t="s">
        <v>266</v>
      </c>
    </row>
    <row r="77" spans="3:12" ht="58.5" thickBot="1" x14ac:dyDescent="0.4">
      <c r="C77" s="101"/>
      <c r="D77" s="31" t="s">
        <v>271</v>
      </c>
      <c r="E77" s="50" t="s">
        <v>84</v>
      </c>
      <c r="F77" s="100" t="s">
        <v>28</v>
      </c>
      <c r="G77" s="42">
        <v>46002</v>
      </c>
      <c r="H77" s="100" t="s">
        <v>86</v>
      </c>
      <c r="I77" s="35">
        <v>619691</v>
      </c>
      <c r="J77" s="36" t="s">
        <v>45</v>
      </c>
      <c r="K77" s="42">
        <v>46106</v>
      </c>
      <c r="L77" s="42" t="s">
        <v>266</v>
      </c>
    </row>
    <row r="78" spans="3:12" ht="58.5" thickBot="1" x14ac:dyDescent="0.4">
      <c r="D78" s="37" t="s">
        <v>608</v>
      </c>
      <c r="E78" s="49" t="s">
        <v>609</v>
      </c>
      <c r="F78" s="98" t="s">
        <v>28</v>
      </c>
      <c r="G78" s="43">
        <v>46067</v>
      </c>
      <c r="H78" s="98" t="s">
        <v>610</v>
      </c>
      <c r="I78" s="41">
        <v>1795000</v>
      </c>
      <c r="J78" s="36" t="s">
        <v>45</v>
      </c>
      <c r="K78" s="43">
        <v>46106</v>
      </c>
      <c r="L78" s="43" t="s">
        <v>266</v>
      </c>
    </row>
    <row r="79" spans="3:12" ht="58.5" thickBot="1" x14ac:dyDescent="0.4">
      <c r="D79" s="31" t="s">
        <v>529</v>
      </c>
      <c r="E79" s="50" t="s">
        <v>74</v>
      </c>
      <c r="F79" s="100" t="s">
        <v>496</v>
      </c>
      <c r="G79" s="42">
        <v>46094</v>
      </c>
      <c r="H79" s="100" t="s">
        <v>611</v>
      </c>
      <c r="I79" s="35">
        <v>375445</v>
      </c>
      <c r="J79" s="36" t="s">
        <v>45</v>
      </c>
      <c r="K79" s="42">
        <v>46106</v>
      </c>
      <c r="L79" s="42" t="s">
        <v>266</v>
      </c>
    </row>
    <row r="80" spans="3:12" ht="29.5" thickBot="1" x14ac:dyDescent="0.4">
      <c r="D80" s="31" t="s">
        <v>612</v>
      </c>
      <c r="E80" s="50" t="s">
        <v>447</v>
      </c>
      <c r="F80" s="100" t="s">
        <v>448</v>
      </c>
      <c r="G80" s="42">
        <v>46101</v>
      </c>
      <c r="H80" s="100" t="s">
        <v>613</v>
      </c>
      <c r="I80" s="35">
        <v>120487500</v>
      </c>
      <c r="J80" s="36" t="s">
        <v>45</v>
      </c>
      <c r="K80" s="42">
        <v>46106</v>
      </c>
      <c r="L80" s="42" t="s">
        <v>266</v>
      </c>
    </row>
    <row r="81" spans="3:13" ht="29.5" thickBot="1" x14ac:dyDescent="0.4">
      <c r="D81" s="37" t="s">
        <v>185</v>
      </c>
      <c r="E81" s="49" t="s">
        <v>74</v>
      </c>
      <c r="F81" s="98" t="s">
        <v>709</v>
      </c>
      <c r="G81" s="43">
        <v>46106</v>
      </c>
      <c r="H81" s="98" t="s">
        <v>614</v>
      </c>
      <c r="I81" s="41">
        <v>154599</v>
      </c>
      <c r="J81" s="36" t="s">
        <v>45</v>
      </c>
      <c r="K81" s="43">
        <v>46106</v>
      </c>
      <c r="L81" s="43" t="s">
        <v>266</v>
      </c>
      <c r="M81" s="3"/>
    </row>
    <row r="82" spans="3:13" ht="58.5" thickBot="1" x14ac:dyDescent="0.4">
      <c r="D82" s="31" t="s">
        <v>615</v>
      </c>
      <c r="E82" s="50" t="s">
        <v>74</v>
      </c>
      <c r="F82" s="100" t="s">
        <v>496</v>
      </c>
      <c r="G82" s="42">
        <v>46106</v>
      </c>
      <c r="H82" s="100" t="s">
        <v>616</v>
      </c>
      <c r="I82" s="35">
        <v>327250</v>
      </c>
      <c r="J82" s="36" t="s">
        <v>45</v>
      </c>
      <c r="K82" s="42">
        <v>46106</v>
      </c>
      <c r="L82" s="42" t="s">
        <v>266</v>
      </c>
    </row>
    <row r="83" spans="3:13" ht="58.5" thickBot="1" x14ac:dyDescent="0.4">
      <c r="D83" s="37" t="s">
        <v>617</v>
      </c>
      <c r="E83" s="49" t="s">
        <v>618</v>
      </c>
      <c r="F83" s="98" t="s">
        <v>28</v>
      </c>
      <c r="G83" s="43">
        <v>46105</v>
      </c>
      <c r="H83" s="98" t="s">
        <v>619</v>
      </c>
      <c r="I83" s="41">
        <v>12550859</v>
      </c>
      <c r="J83" s="36" t="s">
        <v>45</v>
      </c>
      <c r="K83" s="43">
        <v>46106</v>
      </c>
      <c r="L83" s="43" t="s">
        <v>266</v>
      </c>
    </row>
    <row r="84" spans="3:13" ht="58.5" thickBot="1" x14ac:dyDescent="0.4">
      <c r="D84" s="31" t="s">
        <v>50</v>
      </c>
      <c r="E84" s="50" t="s">
        <v>399</v>
      </c>
      <c r="F84" s="100" t="s">
        <v>29</v>
      </c>
      <c r="G84" s="42">
        <v>46037</v>
      </c>
      <c r="H84" s="100" t="s">
        <v>620</v>
      </c>
      <c r="I84" s="35">
        <v>18162936</v>
      </c>
      <c r="J84" s="36" t="s">
        <v>45</v>
      </c>
      <c r="K84" s="42">
        <v>46107</v>
      </c>
      <c r="L84" s="42" t="s">
        <v>266</v>
      </c>
    </row>
    <row r="85" spans="3:13" ht="408.5" customHeight="1" thickBot="1" x14ac:dyDescent="0.4">
      <c r="D85" s="37" t="s">
        <v>148</v>
      </c>
      <c r="E85" s="98"/>
      <c r="F85" s="98" t="s">
        <v>25</v>
      </c>
      <c r="G85" s="43">
        <v>46067</v>
      </c>
      <c r="H85" s="98" t="s">
        <v>621</v>
      </c>
      <c r="I85" s="41">
        <v>34143837</v>
      </c>
      <c r="J85" s="36" t="s">
        <v>45</v>
      </c>
      <c r="K85" s="43">
        <v>46107</v>
      </c>
      <c r="L85" s="43" t="s">
        <v>266</v>
      </c>
    </row>
    <row r="86" spans="3:13" ht="29.5" thickBot="1" x14ac:dyDescent="0.4">
      <c r="C86" s="101"/>
      <c r="D86" s="31" t="s">
        <v>89</v>
      </c>
      <c r="E86" s="106" t="s">
        <v>622</v>
      </c>
      <c r="F86" s="100" t="s">
        <v>25</v>
      </c>
      <c r="G86" s="42">
        <v>46056</v>
      </c>
      <c r="H86" s="100" t="s">
        <v>623</v>
      </c>
      <c r="I86" s="35">
        <v>9591400</v>
      </c>
      <c r="J86" s="36" t="s">
        <v>45</v>
      </c>
      <c r="K86" s="42">
        <v>46107</v>
      </c>
      <c r="L86" s="42" t="s">
        <v>266</v>
      </c>
    </row>
    <row r="87" spans="3:13" ht="62.4" customHeight="1" thickBot="1" x14ac:dyDescent="0.4">
      <c r="C87" s="101"/>
      <c r="D87" s="37" t="s">
        <v>624</v>
      </c>
      <c r="E87" s="98" t="s">
        <v>625</v>
      </c>
      <c r="F87" s="98" t="s">
        <v>28</v>
      </c>
      <c r="G87" s="43">
        <v>46069</v>
      </c>
      <c r="H87" s="98" t="s">
        <v>626</v>
      </c>
      <c r="I87" s="41">
        <v>6480000</v>
      </c>
      <c r="J87" s="36" t="s">
        <v>45</v>
      </c>
      <c r="K87" s="43">
        <v>46107</v>
      </c>
      <c r="L87" s="43" t="s">
        <v>266</v>
      </c>
    </row>
    <row r="88" spans="3:13" ht="61.75" customHeight="1" thickBot="1" x14ac:dyDescent="0.4">
      <c r="C88" s="101"/>
      <c r="D88" s="31" t="s">
        <v>189</v>
      </c>
      <c r="E88" s="100" t="s">
        <v>627</v>
      </c>
      <c r="F88" s="100" t="s">
        <v>28</v>
      </c>
      <c r="G88" s="42">
        <v>46073</v>
      </c>
      <c r="H88" s="100" t="s">
        <v>628</v>
      </c>
      <c r="I88" s="35">
        <v>5000000</v>
      </c>
      <c r="J88" s="36" t="s">
        <v>45</v>
      </c>
      <c r="K88" s="42">
        <v>46107</v>
      </c>
      <c r="L88" s="42" t="s">
        <v>266</v>
      </c>
    </row>
    <row r="89" spans="3:13" ht="59.4" customHeight="1" thickBot="1" x14ac:dyDescent="0.4">
      <c r="C89" s="101"/>
      <c r="D89" s="37" t="s">
        <v>629</v>
      </c>
      <c r="E89" s="98" t="s">
        <v>630</v>
      </c>
      <c r="F89" s="98" t="s">
        <v>25</v>
      </c>
      <c r="G89" s="43">
        <v>46071</v>
      </c>
      <c r="H89" s="98" t="s">
        <v>631</v>
      </c>
      <c r="I89" s="41">
        <v>12000000</v>
      </c>
      <c r="J89" s="36" t="s">
        <v>45</v>
      </c>
      <c r="K89" s="43">
        <v>46107</v>
      </c>
      <c r="L89" s="43" t="s">
        <v>266</v>
      </c>
    </row>
    <row r="90" spans="3:13" ht="58.5" thickBot="1" x14ac:dyDescent="0.4">
      <c r="C90" s="101"/>
      <c r="D90" s="31" t="s">
        <v>68</v>
      </c>
      <c r="E90" s="100" t="s">
        <v>632</v>
      </c>
      <c r="F90" s="100" t="s">
        <v>28</v>
      </c>
      <c r="G90" s="42">
        <v>46052</v>
      </c>
      <c r="H90" s="100" t="s">
        <v>633</v>
      </c>
      <c r="I90" s="35">
        <v>103730</v>
      </c>
      <c r="J90" s="36" t="s">
        <v>45</v>
      </c>
      <c r="K90" s="42">
        <v>46107</v>
      </c>
      <c r="L90" s="42" t="s">
        <v>266</v>
      </c>
    </row>
    <row r="91" spans="3:13" ht="58.5" thickBot="1" x14ac:dyDescent="0.4">
      <c r="C91" s="101"/>
      <c r="D91" s="37" t="s">
        <v>68</v>
      </c>
      <c r="E91" s="98" t="s">
        <v>634</v>
      </c>
      <c r="F91" s="98" t="s">
        <v>28</v>
      </c>
      <c r="G91" s="43">
        <v>46073</v>
      </c>
      <c r="H91" s="98" t="s">
        <v>635</v>
      </c>
      <c r="I91" s="41">
        <v>2322940</v>
      </c>
      <c r="J91" s="36" t="s">
        <v>45</v>
      </c>
      <c r="K91" s="43">
        <v>46107</v>
      </c>
      <c r="L91" s="43" t="s">
        <v>266</v>
      </c>
    </row>
    <row r="92" spans="3:13" ht="58.5" thickBot="1" x14ac:dyDescent="0.4">
      <c r="C92" s="101"/>
      <c r="D92" s="31" t="s">
        <v>68</v>
      </c>
      <c r="E92" s="100" t="s">
        <v>636</v>
      </c>
      <c r="F92" s="100" t="s">
        <v>28</v>
      </c>
      <c r="G92" s="42">
        <v>46072</v>
      </c>
      <c r="H92" s="100" t="s">
        <v>637</v>
      </c>
      <c r="I92" s="35">
        <v>3040968</v>
      </c>
      <c r="J92" s="36" t="s">
        <v>45</v>
      </c>
      <c r="K92" s="42">
        <v>46107</v>
      </c>
      <c r="L92" s="42" t="s">
        <v>266</v>
      </c>
    </row>
    <row r="93" spans="3:13" ht="58.5" thickBot="1" x14ac:dyDescent="0.4">
      <c r="C93" s="101"/>
      <c r="D93" s="37" t="s">
        <v>100</v>
      </c>
      <c r="E93" s="98" t="s">
        <v>69</v>
      </c>
      <c r="F93" s="98" t="s">
        <v>28</v>
      </c>
      <c r="G93" s="43">
        <v>46048</v>
      </c>
      <c r="H93" s="98" t="s">
        <v>638</v>
      </c>
      <c r="I93" s="41">
        <v>34717942</v>
      </c>
      <c r="J93" s="36" t="s">
        <v>45</v>
      </c>
      <c r="K93" s="43">
        <v>46107</v>
      </c>
      <c r="L93" s="43" t="s">
        <v>266</v>
      </c>
    </row>
    <row r="94" spans="3:13" ht="58.5" thickBot="1" x14ac:dyDescent="0.4">
      <c r="C94" s="101"/>
      <c r="D94" s="37" t="s">
        <v>639</v>
      </c>
      <c r="E94" s="98" t="s">
        <v>74</v>
      </c>
      <c r="F94" s="98" t="s">
        <v>28</v>
      </c>
      <c r="G94" s="43">
        <v>46041</v>
      </c>
      <c r="H94" s="98" t="s">
        <v>640</v>
      </c>
      <c r="I94" s="41">
        <v>9772400</v>
      </c>
      <c r="J94" s="36" t="s">
        <v>45</v>
      </c>
      <c r="K94" s="43">
        <v>46107</v>
      </c>
      <c r="L94" s="43" t="s">
        <v>266</v>
      </c>
    </row>
    <row r="95" spans="3:13" ht="58.5" thickBot="1" x14ac:dyDescent="0.4">
      <c r="C95" s="101"/>
      <c r="D95" s="31" t="s">
        <v>641</v>
      </c>
      <c r="E95" s="100" t="s">
        <v>712</v>
      </c>
      <c r="F95" s="100" t="s">
        <v>29</v>
      </c>
      <c r="G95" s="42">
        <v>46056</v>
      </c>
      <c r="H95" s="100" t="s">
        <v>642</v>
      </c>
      <c r="I95" s="35">
        <v>26350000</v>
      </c>
      <c r="J95" s="36" t="s">
        <v>45</v>
      </c>
      <c r="K95" s="42">
        <v>46107</v>
      </c>
      <c r="L95" s="42" t="s">
        <v>266</v>
      </c>
    </row>
    <row r="96" spans="3:13" ht="54.65" customHeight="1" thickBot="1" x14ac:dyDescent="0.4">
      <c r="C96" s="101"/>
      <c r="D96" s="37" t="s">
        <v>641</v>
      </c>
      <c r="E96" s="100" t="s">
        <v>712</v>
      </c>
      <c r="F96" s="98" t="s">
        <v>29</v>
      </c>
      <c r="G96" s="43">
        <v>46056</v>
      </c>
      <c r="H96" s="98" t="s">
        <v>643</v>
      </c>
      <c r="I96" s="41">
        <v>26350000</v>
      </c>
      <c r="J96" s="36" t="s">
        <v>45</v>
      </c>
      <c r="K96" s="43">
        <v>46107</v>
      </c>
      <c r="L96" s="43" t="s">
        <v>266</v>
      </c>
    </row>
    <row r="97" spans="4:12" ht="58.5" thickBot="1" x14ac:dyDescent="0.4">
      <c r="D97" s="31" t="s">
        <v>641</v>
      </c>
      <c r="E97" s="100" t="s">
        <v>712</v>
      </c>
      <c r="F97" s="100" t="s">
        <v>29</v>
      </c>
      <c r="G97" s="42">
        <v>46036</v>
      </c>
      <c r="H97" s="100" t="s">
        <v>644</v>
      </c>
      <c r="I97" s="35">
        <v>26350000</v>
      </c>
      <c r="J97" s="36" t="s">
        <v>45</v>
      </c>
      <c r="K97" s="42">
        <v>46107</v>
      </c>
      <c r="L97" s="42" t="s">
        <v>266</v>
      </c>
    </row>
    <row r="98" spans="4:12" ht="15" thickBot="1" x14ac:dyDescent="0.4">
      <c r="D98" s="37" t="s">
        <v>73</v>
      </c>
      <c r="E98" s="98" t="s">
        <v>32</v>
      </c>
      <c r="F98" s="98" t="s">
        <v>709</v>
      </c>
      <c r="G98" s="43">
        <v>46077</v>
      </c>
      <c r="H98" s="98" t="s">
        <v>645</v>
      </c>
      <c r="I98" s="41">
        <v>1498000</v>
      </c>
      <c r="J98" s="36" t="s">
        <v>45</v>
      </c>
      <c r="K98" s="43">
        <v>46107</v>
      </c>
      <c r="L98" s="43" t="s">
        <v>266</v>
      </c>
    </row>
    <row r="99" spans="4:12" ht="15" thickBot="1" x14ac:dyDescent="0.4">
      <c r="D99" s="31" t="s">
        <v>73</v>
      </c>
      <c r="E99" s="100" t="s">
        <v>32</v>
      </c>
      <c r="F99" s="100" t="s">
        <v>709</v>
      </c>
      <c r="G99" s="42">
        <v>46077</v>
      </c>
      <c r="H99" s="100" t="s">
        <v>646</v>
      </c>
      <c r="I99" s="35">
        <v>1258000</v>
      </c>
      <c r="J99" s="36" t="s">
        <v>45</v>
      </c>
      <c r="K99" s="42">
        <v>46107</v>
      </c>
      <c r="L99" s="42" t="s">
        <v>266</v>
      </c>
    </row>
    <row r="100" spans="4:12" ht="58.5" thickBot="1" x14ac:dyDescent="0.4">
      <c r="D100" s="37" t="s">
        <v>495</v>
      </c>
      <c r="E100" s="98" t="s">
        <v>710</v>
      </c>
      <c r="F100" s="98" t="s">
        <v>496</v>
      </c>
      <c r="G100" s="43">
        <v>46038</v>
      </c>
      <c r="H100" s="98" t="s">
        <v>647</v>
      </c>
      <c r="I100" s="41">
        <v>91153581</v>
      </c>
      <c r="J100" s="36" t="s">
        <v>45</v>
      </c>
      <c r="K100" s="43">
        <v>46107</v>
      </c>
      <c r="L100" s="43" t="s">
        <v>266</v>
      </c>
    </row>
    <row r="101" spans="4:12" ht="58.5" thickBot="1" x14ac:dyDescent="0.4">
      <c r="D101" s="31" t="s">
        <v>113</v>
      </c>
      <c r="E101" s="100" t="s">
        <v>114</v>
      </c>
      <c r="F101" s="100" t="s">
        <v>534</v>
      </c>
      <c r="G101" s="42">
        <v>46062</v>
      </c>
      <c r="H101" s="100" t="s">
        <v>648</v>
      </c>
      <c r="I101" s="35">
        <v>162000</v>
      </c>
      <c r="J101" s="36" t="s">
        <v>45</v>
      </c>
      <c r="K101" s="42">
        <v>46107</v>
      </c>
      <c r="L101" s="42" t="s">
        <v>266</v>
      </c>
    </row>
    <row r="102" spans="4:12" ht="28.75" customHeight="1" thickBot="1" x14ac:dyDescent="0.4">
      <c r="D102" s="37" t="s">
        <v>441</v>
      </c>
      <c r="E102" s="98" t="s">
        <v>649</v>
      </c>
      <c r="F102" s="98" t="s">
        <v>25</v>
      </c>
      <c r="G102" s="43">
        <v>46077</v>
      </c>
      <c r="H102" s="98" t="s">
        <v>650</v>
      </c>
      <c r="I102" s="41">
        <v>375000</v>
      </c>
      <c r="J102" s="36" t="s">
        <v>45</v>
      </c>
      <c r="K102" s="43">
        <v>46107</v>
      </c>
      <c r="L102" s="43" t="s">
        <v>266</v>
      </c>
    </row>
    <row r="103" spans="4:12" ht="29.5" thickBot="1" x14ac:dyDescent="0.4">
      <c r="D103" s="31" t="s">
        <v>125</v>
      </c>
      <c r="E103" s="100" t="s">
        <v>74</v>
      </c>
      <c r="F103" s="100" t="s">
        <v>126</v>
      </c>
      <c r="G103" s="42">
        <v>46069</v>
      </c>
      <c r="H103" s="100" t="s">
        <v>651</v>
      </c>
      <c r="I103" s="35">
        <v>450177</v>
      </c>
      <c r="J103" s="36" t="s">
        <v>45</v>
      </c>
      <c r="K103" s="42">
        <v>46107</v>
      </c>
      <c r="L103" s="42" t="s">
        <v>266</v>
      </c>
    </row>
    <row r="104" spans="4:12" ht="29.5" thickBot="1" x14ac:dyDescent="0.4">
      <c r="D104" s="37" t="s">
        <v>125</v>
      </c>
      <c r="E104" s="98" t="s">
        <v>74</v>
      </c>
      <c r="F104" s="98" t="s">
        <v>126</v>
      </c>
      <c r="G104" s="43">
        <v>46072</v>
      </c>
      <c r="H104" s="98" t="s">
        <v>652</v>
      </c>
      <c r="I104" s="41">
        <v>1593410</v>
      </c>
      <c r="J104" s="36" t="s">
        <v>45</v>
      </c>
      <c r="K104" s="43">
        <v>46107</v>
      </c>
      <c r="L104" s="43" t="s">
        <v>266</v>
      </c>
    </row>
    <row r="105" spans="4:12" ht="58.5" thickBot="1" x14ac:dyDescent="0.4">
      <c r="D105" s="31" t="s">
        <v>653</v>
      </c>
      <c r="E105" s="100" t="s">
        <v>399</v>
      </c>
      <c r="F105" s="100" t="s">
        <v>29</v>
      </c>
      <c r="G105" s="42">
        <v>46062</v>
      </c>
      <c r="H105" s="100" t="s">
        <v>654</v>
      </c>
      <c r="I105" s="35">
        <v>12209160</v>
      </c>
      <c r="J105" s="36" t="s">
        <v>45</v>
      </c>
      <c r="K105" s="42">
        <v>46107</v>
      </c>
      <c r="L105" s="42" t="s">
        <v>266</v>
      </c>
    </row>
    <row r="106" spans="4:12" ht="58.5" thickBot="1" x14ac:dyDescent="0.4">
      <c r="D106" s="37" t="s">
        <v>655</v>
      </c>
      <c r="E106" s="98" t="s">
        <v>368</v>
      </c>
      <c r="F106" s="98" t="s">
        <v>29</v>
      </c>
      <c r="G106" s="43">
        <v>46064</v>
      </c>
      <c r="H106" s="98" t="s">
        <v>656</v>
      </c>
      <c r="I106" s="41">
        <v>16070168</v>
      </c>
      <c r="J106" s="36" t="s">
        <v>45</v>
      </c>
      <c r="K106" s="43">
        <v>46107</v>
      </c>
      <c r="L106" s="43" t="s">
        <v>266</v>
      </c>
    </row>
    <row r="107" spans="4:12" ht="58.5" thickBot="1" x14ac:dyDescent="0.4">
      <c r="D107" s="31" t="s">
        <v>176</v>
      </c>
      <c r="E107" s="100" t="s">
        <v>562</v>
      </c>
      <c r="F107" s="100" t="s">
        <v>28</v>
      </c>
      <c r="G107" s="42">
        <v>46058</v>
      </c>
      <c r="H107" s="100" t="s">
        <v>657</v>
      </c>
      <c r="I107" s="35">
        <v>25157500</v>
      </c>
      <c r="J107" s="36" t="s">
        <v>45</v>
      </c>
      <c r="K107" s="42">
        <v>46107</v>
      </c>
      <c r="L107" s="42" t="s">
        <v>266</v>
      </c>
    </row>
    <row r="108" spans="4:12" ht="29.5" thickBot="1" x14ac:dyDescent="0.4">
      <c r="D108" s="37" t="s">
        <v>131</v>
      </c>
      <c r="E108" s="98" t="s">
        <v>564</v>
      </c>
      <c r="F108" s="98" t="s">
        <v>464</v>
      </c>
      <c r="G108" s="43">
        <v>46064</v>
      </c>
      <c r="H108" s="98" t="s">
        <v>658</v>
      </c>
      <c r="I108" s="41">
        <v>84800000</v>
      </c>
      <c r="J108" s="36" t="s">
        <v>45</v>
      </c>
      <c r="K108" s="43">
        <v>46107</v>
      </c>
      <c r="L108" s="43" t="s">
        <v>266</v>
      </c>
    </row>
    <row r="109" spans="4:12" ht="58.5" thickBot="1" x14ac:dyDescent="0.4">
      <c r="D109" s="31" t="s">
        <v>566</v>
      </c>
      <c r="E109" s="100" t="s">
        <v>705</v>
      </c>
      <c r="F109" s="100" t="s">
        <v>29</v>
      </c>
      <c r="G109" s="42">
        <v>46046</v>
      </c>
      <c r="H109" s="100" t="s">
        <v>659</v>
      </c>
      <c r="I109" s="35">
        <v>7763424</v>
      </c>
      <c r="J109" s="36" t="s">
        <v>45</v>
      </c>
      <c r="K109" s="42">
        <v>46107</v>
      </c>
      <c r="L109" s="42" t="s">
        <v>266</v>
      </c>
    </row>
    <row r="110" spans="4:12" ht="58.5" thickBot="1" x14ac:dyDescent="0.4">
      <c r="D110" s="37" t="s">
        <v>569</v>
      </c>
      <c r="E110" s="98" t="s">
        <v>570</v>
      </c>
      <c r="F110" s="98" t="s">
        <v>29</v>
      </c>
      <c r="G110" s="43">
        <v>46055</v>
      </c>
      <c r="H110" s="98" t="s">
        <v>660</v>
      </c>
      <c r="I110" s="41">
        <v>5826240</v>
      </c>
      <c r="J110" s="36" t="s">
        <v>45</v>
      </c>
      <c r="K110" s="43">
        <v>46107</v>
      </c>
      <c r="L110" s="43" t="s">
        <v>266</v>
      </c>
    </row>
    <row r="111" spans="4:12" ht="58.5" thickBot="1" x14ac:dyDescent="0.4">
      <c r="D111" s="31" t="s">
        <v>569</v>
      </c>
      <c r="E111" s="100" t="s">
        <v>570</v>
      </c>
      <c r="F111" s="100" t="s">
        <v>29</v>
      </c>
      <c r="G111" s="42">
        <v>46055</v>
      </c>
      <c r="H111" s="100" t="s">
        <v>661</v>
      </c>
      <c r="I111" s="35">
        <v>5754840</v>
      </c>
      <c r="J111" s="36" t="s">
        <v>45</v>
      </c>
      <c r="K111" s="42">
        <v>46107</v>
      </c>
      <c r="L111" s="42" t="s">
        <v>266</v>
      </c>
    </row>
    <row r="112" spans="4:12" ht="58.5" thickBot="1" x14ac:dyDescent="0.4">
      <c r="D112" s="37" t="s">
        <v>569</v>
      </c>
      <c r="E112" s="98" t="s">
        <v>570</v>
      </c>
      <c r="F112" s="98" t="s">
        <v>29</v>
      </c>
      <c r="G112" s="43">
        <v>46055</v>
      </c>
      <c r="H112" s="98" t="s">
        <v>662</v>
      </c>
      <c r="I112" s="41">
        <v>3541440</v>
      </c>
      <c r="J112" s="36" t="s">
        <v>45</v>
      </c>
      <c r="K112" s="43">
        <v>46107</v>
      </c>
      <c r="L112" s="43" t="s">
        <v>266</v>
      </c>
    </row>
    <row r="113" spans="3:12" ht="58.5" thickBot="1" x14ac:dyDescent="0.4">
      <c r="D113" s="31" t="s">
        <v>569</v>
      </c>
      <c r="E113" s="100" t="s">
        <v>570</v>
      </c>
      <c r="F113" s="100" t="s">
        <v>29</v>
      </c>
      <c r="G113" s="42">
        <v>46055</v>
      </c>
      <c r="H113" s="100" t="s">
        <v>663</v>
      </c>
      <c r="I113" s="35">
        <v>3098760</v>
      </c>
      <c r="J113" s="36" t="s">
        <v>45</v>
      </c>
      <c r="K113" s="42">
        <v>46107</v>
      </c>
      <c r="L113" s="42" t="s">
        <v>266</v>
      </c>
    </row>
    <row r="114" spans="3:12" ht="58.5" thickBot="1" x14ac:dyDescent="0.4">
      <c r="C114" s="101"/>
      <c r="D114" s="37" t="s">
        <v>569</v>
      </c>
      <c r="E114" s="98" t="s">
        <v>570</v>
      </c>
      <c r="F114" s="98" t="s">
        <v>29</v>
      </c>
      <c r="G114" s="43">
        <v>46055</v>
      </c>
      <c r="H114" s="98" t="s">
        <v>664</v>
      </c>
      <c r="I114" s="41">
        <v>2213400</v>
      </c>
      <c r="J114" s="36" t="s">
        <v>45</v>
      </c>
      <c r="K114" s="43">
        <v>46107</v>
      </c>
      <c r="L114" s="43" t="s">
        <v>266</v>
      </c>
    </row>
    <row r="115" spans="3:12" ht="58.5" thickBot="1" x14ac:dyDescent="0.4">
      <c r="C115" s="101"/>
      <c r="D115" s="31" t="s">
        <v>569</v>
      </c>
      <c r="E115" s="100" t="s">
        <v>570</v>
      </c>
      <c r="F115" s="100" t="s">
        <v>29</v>
      </c>
      <c r="G115" s="42">
        <v>46055</v>
      </c>
      <c r="H115" s="100" t="s">
        <v>665</v>
      </c>
      <c r="I115" s="35">
        <v>2213400</v>
      </c>
      <c r="J115" s="36" t="s">
        <v>45</v>
      </c>
      <c r="K115" s="42">
        <v>46107</v>
      </c>
      <c r="L115" s="42" t="s">
        <v>266</v>
      </c>
    </row>
    <row r="116" spans="3:12" ht="58.5" thickBot="1" x14ac:dyDescent="0.4">
      <c r="C116" s="101"/>
      <c r="D116" s="37" t="s">
        <v>569</v>
      </c>
      <c r="E116" s="98" t="s">
        <v>570</v>
      </c>
      <c r="F116" s="98" t="s">
        <v>29</v>
      </c>
      <c r="G116" s="43">
        <v>46055</v>
      </c>
      <c r="H116" s="98" t="s">
        <v>666</v>
      </c>
      <c r="I116" s="41">
        <v>1770720</v>
      </c>
      <c r="J116" s="36" t="s">
        <v>45</v>
      </c>
      <c r="K116" s="43">
        <v>46107</v>
      </c>
      <c r="L116" s="43" t="s">
        <v>266</v>
      </c>
    </row>
    <row r="117" spans="3:12" ht="58.5" thickBot="1" x14ac:dyDescent="0.4">
      <c r="D117" s="31" t="s">
        <v>667</v>
      </c>
      <c r="E117" s="100" t="s">
        <v>399</v>
      </c>
      <c r="F117" s="100" t="s">
        <v>28</v>
      </c>
      <c r="G117" s="42">
        <v>46064</v>
      </c>
      <c r="H117" s="100" t="s">
        <v>668</v>
      </c>
      <c r="I117" s="35">
        <v>26055864</v>
      </c>
      <c r="J117" s="36" t="s">
        <v>45</v>
      </c>
      <c r="K117" s="42">
        <v>46107</v>
      </c>
      <c r="L117" s="42" t="s">
        <v>266</v>
      </c>
    </row>
    <row r="118" spans="3:12" ht="29.5" thickBot="1" x14ac:dyDescent="0.4">
      <c r="D118" s="37" t="s">
        <v>667</v>
      </c>
      <c r="E118" s="98" t="s">
        <v>669</v>
      </c>
      <c r="F118" s="98" t="s">
        <v>464</v>
      </c>
      <c r="G118" s="43">
        <v>46063</v>
      </c>
      <c r="H118" s="98" t="s">
        <v>670</v>
      </c>
      <c r="I118" s="41">
        <v>13500000</v>
      </c>
      <c r="J118" s="36" t="s">
        <v>45</v>
      </c>
      <c r="K118" s="43">
        <v>46107</v>
      </c>
      <c r="L118" s="43" t="s">
        <v>266</v>
      </c>
    </row>
    <row r="119" spans="3:12" ht="58.5" thickBot="1" x14ac:dyDescent="0.4">
      <c r="D119" s="37" t="s">
        <v>711</v>
      </c>
      <c r="E119" s="98" t="s">
        <v>216</v>
      </c>
      <c r="F119" s="98" t="s">
        <v>534</v>
      </c>
      <c r="G119" s="43">
        <v>46096</v>
      </c>
      <c r="H119" s="98" t="s">
        <v>216</v>
      </c>
      <c r="I119" s="41">
        <v>123600400</v>
      </c>
      <c r="J119" s="36" t="s">
        <v>45</v>
      </c>
      <c r="K119" s="43">
        <v>46107</v>
      </c>
      <c r="L119" s="43" t="s">
        <v>266</v>
      </c>
    </row>
    <row r="120" spans="3:12" ht="58.5" thickBot="1" x14ac:dyDescent="0.4">
      <c r="D120" s="31" t="s">
        <v>427</v>
      </c>
      <c r="E120" s="100" t="s">
        <v>272</v>
      </c>
      <c r="F120" s="100" t="s">
        <v>534</v>
      </c>
      <c r="G120" s="42">
        <v>46105</v>
      </c>
      <c r="H120" s="100" t="s">
        <v>671</v>
      </c>
      <c r="I120" s="35">
        <v>107100</v>
      </c>
      <c r="J120" s="36" t="s">
        <v>45</v>
      </c>
      <c r="K120" s="42">
        <v>46107</v>
      </c>
      <c r="L120" s="42" t="s">
        <v>266</v>
      </c>
    </row>
    <row r="121" spans="3:12" ht="58.5" thickBot="1" x14ac:dyDescent="0.4">
      <c r="D121" s="37" t="s">
        <v>314</v>
      </c>
      <c r="E121" s="98" t="s">
        <v>84</v>
      </c>
      <c r="F121" s="98" t="s">
        <v>28</v>
      </c>
      <c r="G121" s="43">
        <v>46105</v>
      </c>
      <c r="H121" s="98" t="s">
        <v>86</v>
      </c>
      <c r="I121" s="41">
        <v>22311360</v>
      </c>
      <c r="J121" s="36" t="s">
        <v>45</v>
      </c>
      <c r="K121" s="43">
        <v>46107</v>
      </c>
      <c r="L121" s="43" t="s">
        <v>266</v>
      </c>
    </row>
    <row r="122" spans="3:12" ht="29.5" thickBot="1" x14ac:dyDescent="0.4">
      <c r="D122" s="31" t="s">
        <v>672</v>
      </c>
      <c r="E122" s="100" t="s">
        <v>673</v>
      </c>
      <c r="F122" s="100" t="s">
        <v>25</v>
      </c>
      <c r="G122" s="42">
        <v>46101</v>
      </c>
      <c r="H122" s="100" t="s">
        <v>92</v>
      </c>
      <c r="I122" s="35">
        <v>12000000</v>
      </c>
      <c r="J122" s="36" t="s">
        <v>45</v>
      </c>
      <c r="K122" s="42">
        <v>46107</v>
      </c>
      <c r="L122" s="42" t="s">
        <v>266</v>
      </c>
    </row>
    <row r="123" spans="3:12" ht="29.5" thickBot="1" x14ac:dyDescent="0.4">
      <c r="D123" s="31" t="s">
        <v>676</v>
      </c>
      <c r="E123" s="100" t="s">
        <v>447</v>
      </c>
      <c r="F123" s="100" t="s">
        <v>448</v>
      </c>
      <c r="G123" s="42">
        <v>46105</v>
      </c>
      <c r="H123" s="100" t="s">
        <v>677</v>
      </c>
      <c r="I123" s="35">
        <v>150000000</v>
      </c>
      <c r="J123" s="36" t="s">
        <v>45</v>
      </c>
      <c r="K123" s="42">
        <v>46108</v>
      </c>
      <c r="L123" s="42" t="s">
        <v>266</v>
      </c>
    </row>
    <row r="124" spans="3:12" ht="29.5" thickBot="1" x14ac:dyDescent="0.4">
      <c r="D124" s="37" t="s">
        <v>676</v>
      </c>
      <c r="E124" s="98" t="s">
        <v>447</v>
      </c>
      <c r="F124" s="98" t="s">
        <v>448</v>
      </c>
      <c r="G124" s="43">
        <v>46105</v>
      </c>
      <c r="H124" s="98" t="s">
        <v>678</v>
      </c>
      <c r="I124" s="41">
        <v>150000000</v>
      </c>
      <c r="J124" s="36" t="s">
        <v>45</v>
      </c>
      <c r="K124" s="43">
        <v>46108</v>
      </c>
      <c r="L124" s="43" t="s">
        <v>266</v>
      </c>
    </row>
    <row r="125" spans="3:12" ht="58.5" thickBot="1" x14ac:dyDescent="0.4">
      <c r="D125" s="31" t="s">
        <v>679</v>
      </c>
      <c r="E125" s="100" t="s">
        <v>704</v>
      </c>
      <c r="F125" s="100" t="s">
        <v>28</v>
      </c>
      <c r="G125" s="42">
        <v>46101</v>
      </c>
      <c r="H125" s="100" t="s">
        <v>680</v>
      </c>
      <c r="I125" s="35">
        <v>16085100</v>
      </c>
      <c r="J125" s="36" t="s">
        <v>45</v>
      </c>
      <c r="K125" s="42">
        <v>46111</v>
      </c>
      <c r="L125" s="42" t="s">
        <v>266</v>
      </c>
    </row>
    <row r="126" spans="3:12" ht="29.5" thickBot="1" x14ac:dyDescent="0.4">
      <c r="D126" s="31" t="s">
        <v>414</v>
      </c>
      <c r="E126" s="107">
        <v>46082</v>
      </c>
      <c r="F126" s="100" t="s">
        <v>211</v>
      </c>
      <c r="G126" s="42" t="s">
        <v>216</v>
      </c>
      <c r="H126" s="100" t="s">
        <v>216</v>
      </c>
      <c r="I126" s="35">
        <v>104320000</v>
      </c>
      <c r="J126" s="36" t="s">
        <v>45</v>
      </c>
      <c r="K126" s="42">
        <v>46111</v>
      </c>
      <c r="L126" s="42" t="s">
        <v>266</v>
      </c>
    </row>
    <row r="127" spans="3:12" ht="69.650000000000006" customHeight="1" thickBot="1" x14ac:dyDescent="0.4">
      <c r="D127" s="37" t="s">
        <v>683</v>
      </c>
      <c r="E127" s="98" t="s">
        <v>684</v>
      </c>
      <c r="F127" s="98" t="s">
        <v>28</v>
      </c>
      <c r="G127" s="43">
        <v>46111</v>
      </c>
      <c r="H127" s="98" t="s">
        <v>685</v>
      </c>
      <c r="I127" s="41">
        <v>787768</v>
      </c>
      <c r="J127" s="36" t="s">
        <v>45</v>
      </c>
      <c r="K127" s="43">
        <v>46111</v>
      </c>
      <c r="L127" s="43" t="s">
        <v>266</v>
      </c>
    </row>
    <row r="128" spans="3:12" ht="29.5" thickBot="1" x14ac:dyDescent="0.4">
      <c r="D128" s="31" t="s">
        <v>686</v>
      </c>
      <c r="E128" s="100" t="s">
        <v>687</v>
      </c>
      <c r="F128" s="100" t="s">
        <v>30</v>
      </c>
      <c r="G128" s="42">
        <v>46111</v>
      </c>
      <c r="H128" s="100" t="s">
        <v>688</v>
      </c>
      <c r="I128" s="35">
        <v>1568000</v>
      </c>
      <c r="J128" s="36" t="s">
        <v>45</v>
      </c>
      <c r="K128" s="42">
        <v>46111</v>
      </c>
      <c r="L128" s="42" t="s">
        <v>266</v>
      </c>
    </row>
    <row r="129" spans="4:12" ht="61.25" customHeight="1" thickBot="1" x14ac:dyDescent="0.4">
      <c r="D129" s="37" t="s">
        <v>135</v>
      </c>
      <c r="E129" s="98" t="s">
        <v>272</v>
      </c>
      <c r="F129" s="98" t="s">
        <v>534</v>
      </c>
      <c r="G129" s="43">
        <v>46108</v>
      </c>
      <c r="H129" s="98" t="s">
        <v>689</v>
      </c>
      <c r="I129" s="41">
        <v>2270044</v>
      </c>
      <c r="J129" s="36" t="s">
        <v>45</v>
      </c>
      <c r="K129" s="43">
        <v>46111</v>
      </c>
      <c r="L129" s="43" t="s">
        <v>266</v>
      </c>
    </row>
    <row r="130" spans="4:12" ht="58.5" thickBot="1" x14ac:dyDescent="0.4">
      <c r="D130" s="31" t="s">
        <v>679</v>
      </c>
      <c r="E130" s="100" t="s">
        <v>690</v>
      </c>
      <c r="F130" s="100" t="s">
        <v>28</v>
      </c>
      <c r="G130" s="42">
        <v>46111</v>
      </c>
      <c r="H130" s="100" t="s">
        <v>691</v>
      </c>
      <c r="I130" s="35">
        <v>7735000</v>
      </c>
      <c r="J130" s="36" t="s">
        <v>45</v>
      </c>
      <c r="K130" s="42">
        <v>46111</v>
      </c>
      <c r="L130" s="42" t="s">
        <v>266</v>
      </c>
    </row>
    <row r="131" spans="4:12" ht="29.5" thickBot="1" x14ac:dyDescent="0.4">
      <c r="D131" s="37" t="s">
        <v>439</v>
      </c>
      <c r="E131" s="98" t="s">
        <v>692</v>
      </c>
      <c r="F131" s="98" t="s">
        <v>709</v>
      </c>
      <c r="G131" s="43">
        <v>46111</v>
      </c>
      <c r="H131" s="98" t="s">
        <v>693</v>
      </c>
      <c r="I131" s="41">
        <v>595000</v>
      </c>
      <c r="J131" s="36" t="s">
        <v>45</v>
      </c>
      <c r="K131" s="43">
        <v>46111</v>
      </c>
      <c r="L131" s="43" t="s">
        <v>266</v>
      </c>
    </row>
    <row r="132" spans="4:12" ht="29.5" thickBot="1" x14ac:dyDescent="0.4">
      <c r="D132" s="31" t="s">
        <v>694</v>
      </c>
      <c r="E132" s="100" t="s">
        <v>74</v>
      </c>
      <c r="F132" s="100" t="s">
        <v>30</v>
      </c>
      <c r="G132" s="42">
        <v>46111</v>
      </c>
      <c r="H132" s="100" t="s">
        <v>695</v>
      </c>
      <c r="I132" s="35">
        <v>599760</v>
      </c>
      <c r="J132" s="36" t="s">
        <v>45</v>
      </c>
      <c r="K132" s="42">
        <v>46111</v>
      </c>
      <c r="L132" s="42" t="s">
        <v>266</v>
      </c>
    </row>
    <row r="133" spans="4:12" ht="58.5" thickBot="1" x14ac:dyDescent="0.4">
      <c r="D133" s="37" t="s">
        <v>696</v>
      </c>
      <c r="E133" s="98" t="s">
        <v>697</v>
      </c>
      <c r="F133" s="98" t="s">
        <v>28</v>
      </c>
      <c r="G133" s="43">
        <v>46110</v>
      </c>
      <c r="H133" s="98" t="s">
        <v>698</v>
      </c>
      <c r="I133" s="41">
        <v>2700000</v>
      </c>
      <c r="J133" s="36" t="s">
        <v>45</v>
      </c>
      <c r="K133" s="43">
        <v>46111</v>
      </c>
      <c r="L133" s="43" t="s">
        <v>266</v>
      </c>
    </row>
    <row r="134" spans="4:12" ht="15" thickBot="1" x14ac:dyDescent="0.4">
      <c r="D134" s="31" t="s">
        <v>415</v>
      </c>
      <c r="E134" s="125">
        <v>46082</v>
      </c>
      <c r="F134" s="100" t="s">
        <v>415</v>
      </c>
      <c r="G134" s="130" t="s">
        <v>216</v>
      </c>
      <c r="H134" s="100" t="s">
        <v>216</v>
      </c>
      <c r="I134" s="35">
        <v>50000000</v>
      </c>
      <c r="J134" s="36" t="s">
        <v>45</v>
      </c>
      <c r="K134" s="133">
        <v>46111</v>
      </c>
      <c r="L134" s="133" t="s">
        <v>266</v>
      </c>
    </row>
    <row r="135" spans="4:12" ht="58.5" thickBot="1" x14ac:dyDescent="0.4">
      <c r="D135" s="102" t="s">
        <v>46</v>
      </c>
      <c r="E135" s="123" t="s">
        <v>584</v>
      </c>
      <c r="F135" s="126" t="s">
        <v>534</v>
      </c>
      <c r="G135" s="127">
        <v>46111</v>
      </c>
      <c r="H135" s="103" t="s">
        <v>699</v>
      </c>
      <c r="I135" s="105">
        <v>235386891</v>
      </c>
      <c r="J135" s="36" t="s">
        <v>45</v>
      </c>
      <c r="K135" s="127">
        <v>46111</v>
      </c>
      <c r="L135" s="127" t="s">
        <v>266</v>
      </c>
    </row>
    <row r="136" spans="4:12" ht="29.5" thickBot="1" x14ac:dyDescent="0.4">
      <c r="D136" s="120" t="s">
        <v>417</v>
      </c>
      <c r="E136" s="122">
        <v>46082</v>
      </c>
      <c r="F136" s="103" t="s">
        <v>700</v>
      </c>
      <c r="G136" s="127">
        <v>46111</v>
      </c>
      <c r="H136" s="123" t="s">
        <v>216</v>
      </c>
      <c r="I136" s="131">
        <v>51003916</v>
      </c>
      <c r="J136" s="36" t="s">
        <v>45</v>
      </c>
      <c r="K136" s="127">
        <v>46111</v>
      </c>
      <c r="L136" s="127" t="s">
        <v>266</v>
      </c>
    </row>
    <row r="137" spans="4:12" ht="29.5" thickBot="1" x14ac:dyDescent="0.4">
      <c r="D137" s="120" t="s">
        <v>254</v>
      </c>
      <c r="E137" s="122">
        <v>46082</v>
      </c>
      <c r="F137" s="103" t="s">
        <v>34</v>
      </c>
      <c r="G137" s="127">
        <v>46111</v>
      </c>
      <c r="H137" s="123" t="s">
        <v>216</v>
      </c>
      <c r="I137" s="131">
        <f>0.5%*'BALANCE MARZO 2026'!E11</f>
        <v>26647657.501158491</v>
      </c>
      <c r="J137" s="36" t="s">
        <v>45</v>
      </c>
      <c r="K137" s="127">
        <v>46052</v>
      </c>
      <c r="L137" s="127" t="s">
        <v>266</v>
      </c>
    </row>
    <row r="138" spans="4:12" ht="58.5" thickBot="1" x14ac:dyDescent="0.4">
      <c r="D138" s="140" t="s">
        <v>46</v>
      </c>
      <c r="E138" s="151" t="s">
        <v>366</v>
      </c>
      <c r="F138" s="153" t="s">
        <v>534</v>
      </c>
      <c r="G138" s="156">
        <v>46111</v>
      </c>
      <c r="H138" s="139" t="s">
        <v>699</v>
      </c>
      <c r="I138" s="35">
        <v>15947222</v>
      </c>
      <c r="J138" s="36" t="s">
        <v>45</v>
      </c>
      <c r="K138" s="156">
        <v>46111</v>
      </c>
      <c r="L138" s="156" t="s">
        <v>266</v>
      </c>
    </row>
    <row r="139" spans="4:12" ht="29.5" thickBot="1" x14ac:dyDescent="0.4">
      <c r="D139" s="37" t="s">
        <v>276</v>
      </c>
      <c r="E139" s="98" t="s">
        <v>172</v>
      </c>
      <c r="F139" s="98" t="s">
        <v>466</v>
      </c>
      <c r="G139" s="43">
        <v>46078</v>
      </c>
      <c r="H139" s="98" t="s">
        <v>467</v>
      </c>
      <c r="I139" s="41">
        <v>2800000</v>
      </c>
      <c r="J139" s="36" t="s">
        <v>45</v>
      </c>
      <c r="K139" s="43">
        <v>46083</v>
      </c>
      <c r="L139" s="43" t="s">
        <v>265</v>
      </c>
    </row>
    <row r="140" spans="4:12" ht="44" thickBot="1" x14ac:dyDescent="0.4">
      <c r="D140" s="31" t="s">
        <v>53</v>
      </c>
      <c r="E140" s="100" t="s">
        <v>59</v>
      </c>
      <c r="F140" s="100" t="s">
        <v>468</v>
      </c>
      <c r="G140" s="42">
        <v>46058</v>
      </c>
      <c r="H140" s="100" t="s">
        <v>469</v>
      </c>
      <c r="I140" s="35">
        <v>74980</v>
      </c>
      <c r="J140" s="36" t="s">
        <v>45</v>
      </c>
      <c r="K140" s="42">
        <v>46083</v>
      </c>
      <c r="L140" s="42" t="s">
        <v>265</v>
      </c>
    </row>
    <row r="141" spans="4:12" ht="44" thickBot="1" x14ac:dyDescent="0.4">
      <c r="D141" s="37" t="s">
        <v>53</v>
      </c>
      <c r="E141" s="98" t="s">
        <v>54</v>
      </c>
      <c r="F141" s="98" t="s">
        <v>468</v>
      </c>
      <c r="G141" s="43">
        <v>46054</v>
      </c>
      <c r="H141" s="98" t="s">
        <v>470</v>
      </c>
      <c r="I141" s="41">
        <v>750898</v>
      </c>
      <c r="J141" s="36" t="s">
        <v>45</v>
      </c>
      <c r="K141" s="43">
        <v>46083</v>
      </c>
      <c r="L141" s="43" t="s">
        <v>265</v>
      </c>
    </row>
    <row r="142" spans="4:12" ht="44" thickBot="1" x14ac:dyDescent="0.4">
      <c r="D142" s="31" t="s">
        <v>53</v>
      </c>
      <c r="E142" s="100" t="s">
        <v>57</v>
      </c>
      <c r="F142" s="100" t="s">
        <v>468</v>
      </c>
      <c r="G142" s="42">
        <v>46054</v>
      </c>
      <c r="H142" s="100" t="s">
        <v>471</v>
      </c>
      <c r="I142" s="35">
        <v>80000</v>
      </c>
      <c r="J142" s="36" t="s">
        <v>45</v>
      </c>
      <c r="K142" s="42">
        <v>46083</v>
      </c>
      <c r="L142" s="42" t="s">
        <v>265</v>
      </c>
    </row>
    <row r="143" spans="4:12" ht="58.5" thickBot="1" x14ac:dyDescent="0.4">
      <c r="D143" s="37" t="s">
        <v>94</v>
      </c>
      <c r="E143" s="98" t="s">
        <v>95</v>
      </c>
      <c r="F143" s="98" t="s">
        <v>28</v>
      </c>
      <c r="G143" s="43">
        <v>46073</v>
      </c>
      <c r="H143" s="98" t="s">
        <v>485</v>
      </c>
      <c r="I143" s="41">
        <v>1680000</v>
      </c>
      <c r="J143" s="36" t="s">
        <v>45</v>
      </c>
      <c r="K143" s="43">
        <v>46083</v>
      </c>
      <c r="L143" s="43" t="s">
        <v>265</v>
      </c>
    </row>
    <row r="144" spans="4:12" ht="58.5" thickBot="1" x14ac:dyDescent="0.4">
      <c r="D144" s="31" t="s">
        <v>171</v>
      </c>
      <c r="E144" s="100" t="s">
        <v>84</v>
      </c>
      <c r="F144" s="100" t="s">
        <v>28</v>
      </c>
      <c r="G144" s="42">
        <v>46072</v>
      </c>
      <c r="H144" s="100" t="s">
        <v>86</v>
      </c>
      <c r="I144" s="35">
        <v>447893</v>
      </c>
      <c r="J144" s="36" t="s">
        <v>45</v>
      </c>
      <c r="K144" s="42">
        <v>46083</v>
      </c>
      <c r="L144" s="42" t="s">
        <v>265</v>
      </c>
    </row>
    <row r="145" spans="3:13" ht="29.5" thickBot="1" x14ac:dyDescent="0.4">
      <c r="D145" s="37" t="s">
        <v>171</v>
      </c>
      <c r="E145" s="98" t="s">
        <v>172</v>
      </c>
      <c r="F145" s="98" t="s">
        <v>466</v>
      </c>
      <c r="G145" s="43">
        <v>46078</v>
      </c>
      <c r="H145" s="98" t="s">
        <v>501</v>
      </c>
      <c r="I145" s="41">
        <v>7140000</v>
      </c>
      <c r="J145" s="36" t="s">
        <v>45</v>
      </c>
      <c r="K145" s="43">
        <v>46083</v>
      </c>
      <c r="L145" s="43" t="s">
        <v>265</v>
      </c>
    </row>
    <row r="146" spans="3:13" ht="29.5" thickBot="1" x14ac:dyDescent="0.4">
      <c r="D146" s="31" t="s">
        <v>107</v>
      </c>
      <c r="E146" s="100" t="s">
        <v>108</v>
      </c>
      <c r="F146" s="100" t="s">
        <v>466</v>
      </c>
      <c r="G146" s="42">
        <v>46058</v>
      </c>
      <c r="H146" s="100" t="s">
        <v>518</v>
      </c>
      <c r="I146" s="35">
        <v>4167154</v>
      </c>
      <c r="J146" s="36" t="s">
        <v>45</v>
      </c>
      <c r="K146" s="42">
        <v>46084</v>
      </c>
      <c r="L146" s="42" t="s">
        <v>265</v>
      </c>
    </row>
    <row r="147" spans="3:13" ht="44" thickBot="1" x14ac:dyDescent="0.4">
      <c r="C147" s="101"/>
      <c r="D147" s="37" t="s">
        <v>519</v>
      </c>
      <c r="E147" s="98" t="s">
        <v>520</v>
      </c>
      <c r="F147" s="98" t="s">
        <v>468</v>
      </c>
      <c r="G147" s="43">
        <v>46070</v>
      </c>
      <c r="H147" s="98" t="s">
        <v>86</v>
      </c>
      <c r="I147" s="41">
        <v>496335</v>
      </c>
      <c r="J147" s="36" t="s">
        <v>45</v>
      </c>
      <c r="K147" s="43">
        <v>46084</v>
      </c>
      <c r="L147" s="43" t="s">
        <v>265</v>
      </c>
    </row>
    <row r="148" spans="3:13" ht="29.5" thickBot="1" x14ac:dyDescent="0.4">
      <c r="C148" s="101"/>
      <c r="D148" s="31" t="s">
        <v>300</v>
      </c>
      <c r="E148" s="100" t="s">
        <v>548</v>
      </c>
      <c r="F148" s="100" t="s">
        <v>85</v>
      </c>
      <c r="G148" s="42">
        <v>46056</v>
      </c>
      <c r="H148" s="100" t="s">
        <v>702</v>
      </c>
      <c r="I148" s="35">
        <v>1500000</v>
      </c>
      <c r="J148" s="36" t="s">
        <v>45</v>
      </c>
      <c r="K148" s="42">
        <v>46085</v>
      </c>
      <c r="L148" s="42" t="s">
        <v>265</v>
      </c>
    </row>
    <row r="149" spans="3:13" ht="29.5" thickBot="1" x14ac:dyDescent="0.4">
      <c r="C149" s="101"/>
      <c r="D149" s="37" t="s">
        <v>300</v>
      </c>
      <c r="E149" s="98" t="s">
        <v>550</v>
      </c>
      <c r="F149" s="98" t="s">
        <v>85</v>
      </c>
      <c r="G149" s="43">
        <v>46055</v>
      </c>
      <c r="H149" s="98" t="s">
        <v>703</v>
      </c>
      <c r="I149" s="41">
        <v>1500000</v>
      </c>
      <c r="J149" s="36" t="s">
        <v>45</v>
      </c>
      <c r="K149" s="43">
        <v>46085</v>
      </c>
      <c r="L149" s="43" t="s">
        <v>265</v>
      </c>
    </row>
    <row r="150" spans="3:13" ht="58.5" thickBot="1" x14ac:dyDescent="0.4">
      <c r="C150" s="101"/>
      <c r="D150" s="37" t="s">
        <v>536</v>
      </c>
      <c r="E150" s="98" t="s">
        <v>84</v>
      </c>
      <c r="F150" s="98" t="s">
        <v>28</v>
      </c>
      <c r="G150" s="43">
        <v>46069</v>
      </c>
      <c r="H150" s="98" t="s">
        <v>86</v>
      </c>
      <c r="I150" s="41">
        <v>140000</v>
      </c>
      <c r="J150" s="36" t="s">
        <v>45</v>
      </c>
      <c r="K150" s="43">
        <v>46092</v>
      </c>
      <c r="L150" s="43" t="s">
        <v>265</v>
      </c>
    </row>
    <row r="151" spans="3:13" ht="58.5" thickBot="1" x14ac:dyDescent="0.4">
      <c r="C151" s="101"/>
      <c r="D151" s="31" t="s">
        <v>536</v>
      </c>
      <c r="E151" s="100" t="s">
        <v>84</v>
      </c>
      <c r="F151" s="100" t="s">
        <v>28</v>
      </c>
      <c r="G151" s="42">
        <v>46080</v>
      </c>
      <c r="H151" s="100" t="s">
        <v>86</v>
      </c>
      <c r="I151" s="35">
        <v>150000</v>
      </c>
      <c r="J151" s="36" t="s">
        <v>45</v>
      </c>
      <c r="K151" s="42">
        <v>46092</v>
      </c>
      <c r="L151" s="42" t="s">
        <v>265</v>
      </c>
    </row>
    <row r="152" spans="3:13" ht="58.5" thickBot="1" x14ac:dyDescent="0.4">
      <c r="D152" s="37" t="s">
        <v>536</v>
      </c>
      <c r="E152" s="98" t="s">
        <v>84</v>
      </c>
      <c r="F152" s="98" t="s">
        <v>28</v>
      </c>
      <c r="G152" s="43">
        <v>46070</v>
      </c>
      <c r="H152" s="98" t="s">
        <v>86</v>
      </c>
      <c r="I152" s="41">
        <v>274956</v>
      </c>
      <c r="J152" s="36" t="s">
        <v>45</v>
      </c>
      <c r="K152" s="43">
        <v>46092</v>
      </c>
      <c r="L152" s="43" t="s">
        <v>265</v>
      </c>
    </row>
    <row r="153" spans="3:13" ht="44" thickBot="1" x14ac:dyDescent="0.4">
      <c r="D153" s="31" t="s">
        <v>537</v>
      </c>
      <c r="E153" s="100" t="s">
        <v>538</v>
      </c>
      <c r="F153" s="100" t="s">
        <v>468</v>
      </c>
      <c r="G153" s="42">
        <v>46072</v>
      </c>
      <c r="H153" s="100" t="s">
        <v>539</v>
      </c>
      <c r="I153" s="35">
        <v>909000</v>
      </c>
      <c r="J153" s="36" t="s">
        <v>45</v>
      </c>
      <c r="K153" s="42">
        <v>46092</v>
      </c>
      <c r="L153" s="42" t="s">
        <v>265</v>
      </c>
    </row>
    <row r="154" spans="3:13" ht="58.5" thickBot="1" x14ac:dyDescent="0.4">
      <c r="D154" s="37" t="s">
        <v>540</v>
      </c>
      <c r="E154" s="98" t="s">
        <v>541</v>
      </c>
      <c r="F154" s="98" t="s">
        <v>534</v>
      </c>
      <c r="G154" s="43">
        <v>46091</v>
      </c>
      <c r="H154" s="98" t="s">
        <v>542</v>
      </c>
      <c r="I154" s="41">
        <v>1125000</v>
      </c>
      <c r="J154" s="36" t="s">
        <v>45</v>
      </c>
      <c r="K154" s="43">
        <v>46092</v>
      </c>
      <c r="L154" s="43" t="s">
        <v>265</v>
      </c>
    </row>
    <row r="155" spans="3:13" ht="44" thickBot="1" x14ac:dyDescent="0.4">
      <c r="D155" s="37" t="s">
        <v>546</v>
      </c>
      <c r="E155" s="98" t="s">
        <v>64</v>
      </c>
      <c r="F155" s="98" t="s">
        <v>468</v>
      </c>
      <c r="G155" s="43">
        <v>46083</v>
      </c>
      <c r="H155" s="98" t="s">
        <v>547</v>
      </c>
      <c r="I155" s="41">
        <v>1238571</v>
      </c>
      <c r="J155" s="36" t="s">
        <v>45</v>
      </c>
      <c r="K155" s="43">
        <v>46094</v>
      </c>
      <c r="L155" s="43" t="s">
        <v>265</v>
      </c>
    </row>
    <row r="156" spans="3:13" ht="29.5" thickBot="1" x14ac:dyDescent="0.4">
      <c r="D156" s="31" t="s">
        <v>80</v>
      </c>
      <c r="E156" s="100" t="s">
        <v>412</v>
      </c>
      <c r="F156" s="100" t="s">
        <v>466</v>
      </c>
      <c r="G156" s="42">
        <v>46059</v>
      </c>
      <c r="H156" s="100" t="s">
        <v>561</v>
      </c>
      <c r="I156" s="35">
        <v>3300000</v>
      </c>
      <c r="J156" s="36" t="s">
        <v>45</v>
      </c>
      <c r="K156" s="42">
        <v>46094</v>
      </c>
      <c r="L156" s="42" t="s">
        <v>265</v>
      </c>
    </row>
    <row r="157" spans="3:13" ht="44" thickBot="1" x14ac:dyDescent="0.4">
      <c r="D157" s="141" t="s">
        <v>546</v>
      </c>
      <c r="E157" s="142" t="s">
        <v>66</v>
      </c>
      <c r="F157" s="155" t="s">
        <v>468</v>
      </c>
      <c r="G157" s="143">
        <v>46086</v>
      </c>
      <c r="H157" s="155" t="s">
        <v>579</v>
      </c>
      <c r="I157" s="160">
        <v>270619</v>
      </c>
      <c r="J157" s="108" t="s">
        <v>45</v>
      </c>
      <c r="K157" s="162">
        <v>46094</v>
      </c>
      <c r="L157" s="162" t="s">
        <v>265</v>
      </c>
    </row>
    <row r="158" spans="3:13" ht="58.5" thickBot="1" x14ac:dyDescent="0.4">
      <c r="D158" s="150" t="s">
        <v>46</v>
      </c>
      <c r="E158" s="152" t="s">
        <v>366</v>
      </c>
      <c r="F158" s="154" t="s">
        <v>534</v>
      </c>
      <c r="G158" s="157">
        <v>46096</v>
      </c>
      <c r="H158" s="158" t="s">
        <v>585</v>
      </c>
      <c r="I158" s="159">
        <v>20229151</v>
      </c>
      <c r="J158" s="109" t="s">
        <v>45</v>
      </c>
      <c r="K158" s="161">
        <v>46096</v>
      </c>
      <c r="L158" s="161" t="s">
        <v>265</v>
      </c>
    </row>
    <row r="159" spans="3:13" ht="29.5" thickBot="1" x14ac:dyDescent="0.4">
      <c r="D159" s="121" t="s">
        <v>83</v>
      </c>
      <c r="E159" s="124" t="s">
        <v>84</v>
      </c>
      <c r="F159" s="124" t="s">
        <v>85</v>
      </c>
      <c r="G159" s="129">
        <v>46094</v>
      </c>
      <c r="H159" s="124" t="s">
        <v>86</v>
      </c>
      <c r="I159" s="132">
        <v>2930751</v>
      </c>
      <c r="J159" s="113" t="s">
        <v>45</v>
      </c>
      <c r="K159" s="129">
        <v>46106</v>
      </c>
      <c r="L159" s="129" t="s">
        <v>265</v>
      </c>
      <c r="M159" s="3"/>
    </row>
    <row r="160" spans="3:13" ht="44" thickBot="1" x14ac:dyDescent="0.4">
      <c r="D160" s="121" t="s">
        <v>407</v>
      </c>
      <c r="E160" s="124" t="s">
        <v>674</v>
      </c>
      <c r="F160" s="124" t="s">
        <v>468</v>
      </c>
      <c r="G160" s="129">
        <v>46105</v>
      </c>
      <c r="H160" s="124" t="s">
        <v>675</v>
      </c>
      <c r="I160" s="132">
        <v>350000</v>
      </c>
      <c r="J160" s="113" t="s">
        <v>45</v>
      </c>
      <c r="K160" s="129">
        <v>46107</v>
      </c>
      <c r="L160" s="129" t="s">
        <v>265</v>
      </c>
      <c r="M160" s="3"/>
    </row>
    <row r="161" spans="4:13" ht="44" thickBot="1" x14ac:dyDescent="0.4">
      <c r="D161" s="110" t="s">
        <v>681</v>
      </c>
      <c r="E161" s="111" t="s">
        <v>682</v>
      </c>
      <c r="F161" s="111" t="s">
        <v>468</v>
      </c>
      <c r="G161" s="129">
        <v>46105</v>
      </c>
      <c r="H161" s="111" t="s">
        <v>86</v>
      </c>
      <c r="I161" s="112">
        <v>1035000</v>
      </c>
      <c r="J161" s="113" t="s">
        <v>45</v>
      </c>
      <c r="K161" s="128">
        <v>46111</v>
      </c>
      <c r="L161" s="128" t="s">
        <v>265</v>
      </c>
    </row>
    <row r="162" spans="4:13" x14ac:dyDescent="0.35">
      <c r="M162" s="3"/>
    </row>
    <row r="163" spans="4:13" x14ac:dyDescent="0.35">
      <c r="D163" s="183" t="s">
        <v>701</v>
      </c>
      <c r="E163" s="183"/>
    </row>
    <row r="164" spans="4:13" x14ac:dyDescent="0.35">
      <c r="D164" s="115">
        <v>46082</v>
      </c>
      <c r="E164" s="116">
        <v>3766.3</v>
      </c>
    </row>
    <row r="165" spans="4:13" x14ac:dyDescent="0.35">
      <c r="D165" s="115">
        <v>46083</v>
      </c>
      <c r="E165" s="116">
        <v>3766.3</v>
      </c>
    </row>
    <row r="166" spans="4:13" x14ac:dyDescent="0.35">
      <c r="D166" s="115">
        <v>46084</v>
      </c>
      <c r="E166" s="116">
        <v>3768.73</v>
      </c>
    </row>
    <row r="167" spans="4:13" x14ac:dyDescent="0.35">
      <c r="D167" s="115">
        <v>46085</v>
      </c>
      <c r="E167" s="116">
        <v>3797.64</v>
      </c>
    </row>
    <row r="168" spans="4:13" x14ac:dyDescent="0.35">
      <c r="D168" s="115">
        <v>46086</v>
      </c>
      <c r="E168" s="116">
        <v>3751.41</v>
      </c>
    </row>
    <row r="169" spans="4:13" x14ac:dyDescent="0.35">
      <c r="D169" s="115">
        <v>46087</v>
      </c>
      <c r="E169" s="116">
        <v>3767.94</v>
      </c>
    </row>
    <row r="170" spans="4:13" x14ac:dyDescent="0.35">
      <c r="D170" s="115">
        <v>46088</v>
      </c>
      <c r="E170" s="116">
        <v>3795.55</v>
      </c>
    </row>
    <row r="171" spans="4:13" x14ac:dyDescent="0.35">
      <c r="D171" s="115">
        <v>46089</v>
      </c>
      <c r="E171" s="116">
        <v>3795.55</v>
      </c>
    </row>
    <row r="172" spans="4:13" x14ac:dyDescent="0.35">
      <c r="D172" s="115">
        <v>46090</v>
      </c>
      <c r="E172" s="116">
        <v>3795.55</v>
      </c>
    </row>
    <row r="173" spans="4:13" x14ac:dyDescent="0.35">
      <c r="D173" s="115">
        <v>46091</v>
      </c>
      <c r="E173" s="116">
        <v>3744.84</v>
      </c>
    </row>
    <row r="174" spans="4:13" x14ac:dyDescent="0.35">
      <c r="D174" s="115">
        <v>46092</v>
      </c>
      <c r="E174" s="116">
        <v>3710.5</v>
      </c>
    </row>
    <row r="175" spans="4:13" x14ac:dyDescent="0.35">
      <c r="D175" s="115">
        <v>46093</v>
      </c>
      <c r="E175" s="116">
        <v>3687.87</v>
      </c>
    </row>
    <row r="176" spans="4:13" x14ac:dyDescent="0.35">
      <c r="D176" s="115">
        <v>46094</v>
      </c>
      <c r="E176" s="116">
        <v>3700.46</v>
      </c>
    </row>
    <row r="177" spans="4:5" x14ac:dyDescent="0.35">
      <c r="D177" s="115">
        <v>46095</v>
      </c>
      <c r="E177" s="116">
        <v>3685.53</v>
      </c>
    </row>
    <row r="178" spans="4:5" x14ac:dyDescent="0.35">
      <c r="D178" s="115">
        <v>46096</v>
      </c>
      <c r="E178" s="116">
        <v>3685.53</v>
      </c>
    </row>
    <row r="179" spans="4:5" x14ac:dyDescent="0.35">
      <c r="D179" s="115">
        <v>46097</v>
      </c>
      <c r="E179" s="116">
        <v>3685.53</v>
      </c>
    </row>
    <row r="180" spans="4:5" x14ac:dyDescent="0.35">
      <c r="D180" s="115">
        <v>46098</v>
      </c>
      <c r="E180" s="116">
        <v>3691.9</v>
      </c>
    </row>
    <row r="181" spans="4:5" x14ac:dyDescent="0.35">
      <c r="D181" s="115">
        <v>46099</v>
      </c>
      <c r="E181" s="116">
        <v>3689.97</v>
      </c>
    </row>
    <row r="182" spans="4:5" x14ac:dyDescent="0.35">
      <c r="D182" s="115">
        <v>46100</v>
      </c>
      <c r="E182" s="116">
        <v>3704.17</v>
      </c>
    </row>
    <row r="183" spans="4:5" x14ac:dyDescent="0.35">
      <c r="D183" s="115">
        <v>46101</v>
      </c>
      <c r="E183" s="116">
        <v>3692.48</v>
      </c>
    </row>
    <row r="184" spans="4:5" x14ac:dyDescent="0.35">
      <c r="D184" s="115">
        <v>46102</v>
      </c>
      <c r="E184" s="116">
        <v>3704.87</v>
      </c>
    </row>
    <row r="185" spans="4:5" x14ac:dyDescent="0.35">
      <c r="D185" s="115">
        <v>46103</v>
      </c>
      <c r="E185" s="116">
        <v>3704.87</v>
      </c>
    </row>
    <row r="186" spans="4:5" x14ac:dyDescent="0.35">
      <c r="D186" s="115">
        <v>46104</v>
      </c>
      <c r="E186" s="116">
        <v>3704.87</v>
      </c>
    </row>
    <row r="187" spans="4:5" x14ac:dyDescent="0.35">
      <c r="D187" s="115">
        <v>46105</v>
      </c>
      <c r="E187" s="116">
        <v>3704.87</v>
      </c>
    </row>
    <row r="188" spans="4:5" x14ac:dyDescent="0.35">
      <c r="D188" s="115">
        <v>46106</v>
      </c>
      <c r="E188" s="116">
        <v>3700.67</v>
      </c>
    </row>
    <row r="189" spans="4:5" x14ac:dyDescent="0.35">
      <c r="D189" s="115">
        <v>46107</v>
      </c>
      <c r="E189" s="116">
        <v>3688.46</v>
      </c>
    </row>
    <row r="190" spans="4:5" x14ac:dyDescent="0.35">
      <c r="D190" s="115">
        <v>46108</v>
      </c>
      <c r="E190" s="116">
        <v>3675.29</v>
      </c>
    </row>
    <row r="191" spans="4:5" x14ac:dyDescent="0.35">
      <c r="D191" s="115">
        <v>46109</v>
      </c>
      <c r="E191" s="116">
        <v>3668.89</v>
      </c>
    </row>
    <row r="192" spans="4:5" x14ac:dyDescent="0.35">
      <c r="D192" s="115">
        <v>46110</v>
      </c>
      <c r="E192" s="116">
        <v>3668.89</v>
      </c>
    </row>
    <row r="193" spans="4:5" x14ac:dyDescent="0.35">
      <c r="D193" s="115">
        <v>46111</v>
      </c>
      <c r="E193" s="116">
        <v>3668.89</v>
      </c>
    </row>
    <row r="194" spans="4:5" x14ac:dyDescent="0.35">
      <c r="D194" s="117">
        <v>46112</v>
      </c>
      <c r="E194" s="118">
        <v>3669.96</v>
      </c>
    </row>
    <row r="195" spans="4:5" x14ac:dyDescent="0.35">
      <c r="D195" s="114" t="s">
        <v>214</v>
      </c>
      <c r="E195" s="119">
        <f>AVERAGE(E164:E194)</f>
        <v>3717.5574193548377</v>
      </c>
    </row>
  </sheetData>
  <autoFilter ref="D2:L161" xr:uid="{9E3B343A-8126-49D7-A867-1172BD707A77}">
    <sortState xmlns:xlrd2="http://schemas.microsoft.com/office/spreadsheetml/2017/richdata2" ref="D3:L161">
      <sortCondition ref="L2:L161"/>
    </sortState>
  </autoFilter>
  <mergeCells count="1">
    <mergeCell ref="D163:E16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8A7D6-E529-424A-9564-55EDBBC60658}">
  <dimension ref="C3:M48"/>
  <sheetViews>
    <sheetView tabSelected="1" zoomScale="80" zoomScaleNormal="80" workbookViewId="0">
      <selection activeCell="D47" sqref="D47"/>
    </sheetView>
  </sheetViews>
  <sheetFormatPr baseColWidth="10" defaultColWidth="10.7265625" defaultRowHeight="14.5" x14ac:dyDescent="0.35"/>
  <cols>
    <col min="3" max="3" width="73.08984375" bestFit="1" customWidth="1"/>
    <col min="4" max="4" width="35.90625" bestFit="1" customWidth="1"/>
    <col min="5" max="5" width="15.08984375" bestFit="1" customWidth="1"/>
    <col min="6" max="6" width="9.81640625" customWidth="1"/>
    <col min="7" max="7" width="30.1796875" bestFit="1" customWidth="1"/>
    <col min="8" max="8" width="36.54296875" bestFit="1" customWidth="1"/>
    <col min="9" max="9" width="15.453125" bestFit="1" customWidth="1"/>
    <col min="10" max="22" width="9.81640625" customWidth="1"/>
    <col min="23" max="38" width="11.453125" customWidth="1"/>
    <col min="39" max="50" width="11.453125" bestFit="1" customWidth="1"/>
    <col min="51" max="73" width="11.453125" customWidth="1"/>
    <col min="74" max="81" width="12.453125" customWidth="1"/>
    <col min="82" max="88" width="12.453125" bestFit="1" customWidth="1"/>
    <col min="89" max="96" width="12.453125" customWidth="1"/>
    <col min="97" max="101" width="13.453125" bestFit="1" customWidth="1"/>
    <col min="102" max="102" width="13.7265625" bestFit="1" customWidth="1"/>
  </cols>
  <sheetData>
    <row r="3" spans="3:13" ht="29" x14ac:dyDescent="0.35">
      <c r="C3" s="1" t="s">
        <v>713</v>
      </c>
      <c r="D3" s="54">
        <v>7466.39</v>
      </c>
      <c r="G3" s="2"/>
    </row>
    <row r="4" spans="3:13" ht="29" x14ac:dyDescent="0.35">
      <c r="C4" s="1" t="s">
        <v>855</v>
      </c>
      <c r="D4" s="54">
        <v>10039.94</v>
      </c>
      <c r="G4" s="3"/>
    </row>
    <row r="5" spans="3:13" x14ac:dyDescent="0.35">
      <c r="C5" s="4" t="s">
        <v>856</v>
      </c>
      <c r="D5" s="5">
        <v>91.23</v>
      </c>
      <c r="G5" s="3"/>
    </row>
    <row r="6" spans="3:13" x14ac:dyDescent="0.35">
      <c r="C6" s="4" t="s">
        <v>857</v>
      </c>
      <c r="D6" s="6">
        <f>'COSTOS Y GASTOS ABRIL 2026'!D136</f>
        <v>3617.5186666666659</v>
      </c>
    </row>
    <row r="8" spans="3:13" x14ac:dyDescent="0.35">
      <c r="C8" s="163" t="s">
        <v>858</v>
      </c>
      <c r="D8" s="163"/>
      <c r="E8" s="163"/>
      <c r="G8" s="163" t="s">
        <v>859</v>
      </c>
      <c r="H8" s="163"/>
      <c r="I8" s="163"/>
    </row>
    <row r="9" spans="3:13" x14ac:dyDescent="0.35">
      <c r="C9" s="164" t="s">
        <v>0</v>
      </c>
      <c r="D9" s="164" t="s">
        <v>1</v>
      </c>
      <c r="E9" s="166" t="s">
        <v>2</v>
      </c>
      <c r="G9" s="164" t="s">
        <v>0</v>
      </c>
      <c r="H9" s="164" t="s">
        <v>1</v>
      </c>
      <c r="I9" s="166" t="s">
        <v>2</v>
      </c>
    </row>
    <row r="10" spans="3:13" x14ac:dyDescent="0.35">
      <c r="C10" s="164"/>
      <c r="D10" s="165"/>
      <c r="E10" s="167"/>
      <c r="G10" s="164"/>
      <c r="H10" s="165"/>
      <c r="I10" s="167"/>
    </row>
    <row r="11" spans="3:13" x14ac:dyDescent="0.35">
      <c r="C11" s="8" t="s">
        <v>3</v>
      </c>
      <c r="D11" s="9"/>
      <c r="E11" s="10">
        <f>+SUM(D3:D4)*D5*D6</f>
        <v>5777548055.3229866</v>
      </c>
      <c r="G11" s="8" t="s">
        <v>3</v>
      </c>
      <c r="H11" s="9"/>
      <c r="I11" s="10">
        <f>+SUM(D3:D4)*D5*D6</f>
        <v>5777548055.3229866</v>
      </c>
    </row>
    <row r="12" spans="3:13" x14ac:dyDescent="0.35">
      <c r="C12" s="8" t="s">
        <v>4</v>
      </c>
      <c r="D12" s="9">
        <f>+E12/E11</f>
        <v>0.426496587234446</v>
      </c>
      <c r="E12" s="10">
        <f>+D3*D5*D6</f>
        <v>2464104528.1782641</v>
      </c>
      <c r="G12" s="8" t="s">
        <v>5</v>
      </c>
      <c r="H12" s="11">
        <f>+I12/I11</f>
        <v>0.57350341276555394</v>
      </c>
      <c r="I12" s="10">
        <f>+D4*D5*D6</f>
        <v>3313443527.144722</v>
      </c>
    </row>
    <row r="13" spans="3:13" x14ac:dyDescent="0.35">
      <c r="C13" s="8" t="s">
        <v>6</v>
      </c>
      <c r="D13" s="9">
        <f>+E13/$E$11</f>
        <v>0.15733228347777253</v>
      </c>
      <c r="E13" s="10">
        <f>+SUM('COSTOS Y GASTOS ABRIL 2026'!H3:H87)*D12</f>
        <v>908994828.44652951</v>
      </c>
      <c r="G13" s="8" t="s">
        <v>6</v>
      </c>
      <c r="H13" s="11">
        <f>+I13/$I$11</f>
        <v>0.21156230603810244</v>
      </c>
      <c r="I13" s="10">
        <f>+SUM('COSTOS Y GASTOS ABRIL 2026'!H3:H87)*H12</f>
        <v>1222311389.8300853</v>
      </c>
      <c r="M13" t="s">
        <v>20</v>
      </c>
    </row>
    <row r="14" spans="3:13" x14ac:dyDescent="0.35">
      <c r="C14" s="8" t="s">
        <v>8</v>
      </c>
      <c r="D14" s="9">
        <f>+E14/$E$11</f>
        <v>6.2190984747374856E-3</v>
      </c>
      <c r="E14" s="10">
        <f>+SUM('COSTOS Y GASTOS ABRIL 2026'!H88:H102)*D12</f>
        <v>35931140.298581712</v>
      </c>
      <c r="G14" s="8" t="s">
        <v>8</v>
      </c>
      <c r="H14" s="11">
        <f>+I14/$I$11</f>
        <v>8.3627262358992593E-3</v>
      </c>
      <c r="I14" s="10">
        <f>+SUM('COSTOS Y GASTOS ABRIL 2026'!H88:H102)*H12</f>
        <v>48316052.701418288</v>
      </c>
    </row>
    <row r="15" spans="3:13" x14ac:dyDescent="0.35">
      <c r="C15" s="8" t="s">
        <v>9</v>
      </c>
      <c r="D15" s="9">
        <f t="shared" ref="D15:D17" si="0">+E15/$E$11</f>
        <v>0.26294520528193605</v>
      </c>
      <c r="E15" s="10">
        <f>+E12-E13-E14</f>
        <v>1519178559.4331532</v>
      </c>
      <c r="G15" s="8" t="s">
        <v>9</v>
      </c>
      <c r="H15" s="11">
        <f t="shared" ref="H15:H17" si="1">+I15/$I$11</f>
        <v>0.35357838049155216</v>
      </c>
      <c r="I15" s="10">
        <f>+I12-I13-I14</f>
        <v>2042816084.6132183</v>
      </c>
    </row>
    <row r="16" spans="3:13" x14ac:dyDescent="0.35">
      <c r="C16" s="90" t="s">
        <v>10</v>
      </c>
      <c r="D16" s="91">
        <f t="shared" si="0"/>
        <v>3.4119726978755684E-2</v>
      </c>
      <c r="E16" s="92">
        <f>+E12*8%</f>
        <v>197128362.25426114</v>
      </c>
      <c r="G16" s="8" t="s">
        <v>10</v>
      </c>
      <c r="H16" s="11">
        <f t="shared" si="1"/>
        <v>4.5880273021244311E-2</v>
      </c>
      <c r="I16" s="10">
        <f>+I12*8%</f>
        <v>265075482.17157775</v>
      </c>
    </row>
    <row r="17" spans="3:9" x14ac:dyDescent="0.35">
      <c r="C17" s="93" t="s">
        <v>7</v>
      </c>
      <c r="D17" s="9">
        <f t="shared" si="0"/>
        <v>0.2288254783031804</v>
      </c>
      <c r="E17" s="13">
        <f>+E15-E16</f>
        <v>1322050197.1788921</v>
      </c>
      <c r="G17" s="8" t="s">
        <v>7</v>
      </c>
      <c r="H17" s="11">
        <f t="shared" si="1"/>
        <v>0.3076981074703079</v>
      </c>
      <c r="I17" s="10">
        <f>+I15-I16</f>
        <v>1777740602.4416406</v>
      </c>
    </row>
    <row r="18" spans="3:9" x14ac:dyDescent="0.35">
      <c r="C18" s="55"/>
      <c r="D18" s="56"/>
      <c r="E18" s="57"/>
      <c r="G18" s="55"/>
      <c r="H18" s="58"/>
      <c r="I18" s="57"/>
    </row>
    <row r="19" spans="3:9" x14ac:dyDescent="0.35">
      <c r="C19" s="163" t="s">
        <v>11</v>
      </c>
      <c r="D19" s="163"/>
      <c r="G19" s="163" t="s">
        <v>455</v>
      </c>
      <c r="H19" s="163"/>
    </row>
    <row r="20" spans="3:9" x14ac:dyDescent="0.35">
      <c r="C20" s="7" t="s">
        <v>0</v>
      </c>
      <c r="D20" s="7" t="s">
        <v>12</v>
      </c>
      <c r="G20" s="7" t="s">
        <v>0</v>
      </c>
      <c r="H20" s="7" t="s">
        <v>12</v>
      </c>
    </row>
    <row r="21" spans="3:9" x14ac:dyDescent="0.35">
      <c r="C21" s="12" t="s">
        <v>13</v>
      </c>
      <c r="D21" s="13">
        <f>+E17</f>
        <v>1322050197.1788921</v>
      </c>
      <c r="G21" s="12" t="s">
        <v>13</v>
      </c>
      <c r="H21" s="13">
        <f>I17</f>
        <v>1777740602.4416406</v>
      </c>
    </row>
    <row r="22" spans="3:9" x14ac:dyDescent="0.35">
      <c r="C22" s="12" t="s">
        <v>14</v>
      </c>
      <c r="D22" s="14">
        <v>0.3</v>
      </c>
      <c r="G22" s="12" t="s">
        <v>15</v>
      </c>
      <c r="H22" s="14">
        <v>0.3</v>
      </c>
    </row>
    <row r="23" spans="3:9" ht="15.5" x14ac:dyDescent="0.35">
      <c r="C23" s="12" t="s">
        <v>17</v>
      </c>
      <c r="D23" s="15">
        <f>+D21*D22</f>
        <v>396615059.15366763</v>
      </c>
      <c r="G23" s="12" t="s">
        <v>16</v>
      </c>
      <c r="H23" s="15">
        <f>+(H21*H22)</f>
        <v>533322180.73249215</v>
      </c>
    </row>
    <row r="24" spans="3:9" x14ac:dyDescent="0.35">
      <c r="C24" s="12" t="s">
        <v>18</v>
      </c>
      <c r="D24" s="13">
        <f>'BALANCE MARZO 2026'!D25</f>
        <v>11007724505.378658</v>
      </c>
      <c r="H24" s="16"/>
    </row>
    <row r="25" spans="3:9" x14ac:dyDescent="0.35">
      <c r="C25" s="12" t="s">
        <v>19</v>
      </c>
      <c r="D25" s="13">
        <f>+D24-D23</f>
        <v>10611109446.224991</v>
      </c>
      <c r="G25" s="3"/>
    </row>
    <row r="27" spans="3:9" x14ac:dyDescent="0.35">
      <c r="G27" s="17"/>
      <c r="H27" s="17"/>
    </row>
    <row r="28" spans="3:9" x14ac:dyDescent="0.35">
      <c r="C28" s="137" t="s">
        <v>854</v>
      </c>
      <c r="D28" s="137" t="s">
        <v>21</v>
      </c>
      <c r="E28" s="137" t="s">
        <v>22</v>
      </c>
      <c r="G28" s="17"/>
      <c r="H28" s="17"/>
    </row>
    <row r="29" spans="3:9" x14ac:dyDescent="0.35">
      <c r="C29" s="19" t="s">
        <v>534</v>
      </c>
      <c r="D29" s="135">
        <v>638865940</v>
      </c>
      <c r="E29" s="136">
        <v>0.28835501628998489</v>
      </c>
    </row>
    <row r="30" spans="3:9" x14ac:dyDescent="0.35">
      <c r="C30" s="19" t="s">
        <v>25</v>
      </c>
      <c r="D30" s="135">
        <v>441351268</v>
      </c>
      <c r="E30" s="136">
        <v>0.19920588046021909</v>
      </c>
    </row>
    <row r="31" spans="3:9" x14ac:dyDescent="0.35">
      <c r="C31" s="19" t="s">
        <v>464</v>
      </c>
      <c r="D31" s="135">
        <v>327375000</v>
      </c>
      <c r="E31" s="136">
        <v>0.14776217911684852</v>
      </c>
    </row>
    <row r="32" spans="3:9" x14ac:dyDescent="0.35">
      <c r="C32" s="19" t="s">
        <v>329</v>
      </c>
      <c r="D32" s="135">
        <v>133741106</v>
      </c>
      <c r="E32" s="136">
        <v>6.036464989708263E-2</v>
      </c>
    </row>
    <row r="33" spans="3:5" x14ac:dyDescent="0.35">
      <c r="C33" s="19" t="s">
        <v>27</v>
      </c>
      <c r="D33" s="135">
        <v>129992000</v>
      </c>
      <c r="E33" s="136">
        <v>5.8672474036677739E-2</v>
      </c>
    </row>
    <row r="34" spans="3:5" x14ac:dyDescent="0.35">
      <c r="C34" s="19" t="s">
        <v>211</v>
      </c>
      <c r="D34" s="135">
        <v>94000000</v>
      </c>
      <c r="E34" s="136">
        <v>4.2427322907930547E-2</v>
      </c>
    </row>
    <row r="35" spans="3:5" x14ac:dyDescent="0.35">
      <c r="C35" s="19" t="s">
        <v>28</v>
      </c>
      <c r="D35" s="135">
        <v>71693853</v>
      </c>
      <c r="E35" s="136">
        <v>3.2359343103667074E-2</v>
      </c>
    </row>
    <row r="36" spans="3:5" x14ac:dyDescent="0.35">
      <c r="C36" s="19" t="s">
        <v>735</v>
      </c>
      <c r="D36" s="135">
        <v>64299203</v>
      </c>
      <c r="E36" s="136">
        <v>2.9021734557484857E-2</v>
      </c>
    </row>
    <row r="37" spans="3:5" x14ac:dyDescent="0.35">
      <c r="C37" s="19" t="s">
        <v>496</v>
      </c>
      <c r="D37" s="135">
        <v>55943873</v>
      </c>
      <c r="E37" s="136">
        <v>2.5250518771183585E-2</v>
      </c>
    </row>
    <row r="38" spans="3:5" x14ac:dyDescent="0.35">
      <c r="C38" s="19" t="s">
        <v>30</v>
      </c>
      <c r="D38" s="135">
        <v>55360548</v>
      </c>
      <c r="E38" s="136">
        <v>2.4987232408042431E-2</v>
      </c>
    </row>
    <row r="39" spans="3:5" x14ac:dyDescent="0.35">
      <c r="C39" s="19" t="s">
        <v>700</v>
      </c>
      <c r="D39" s="135">
        <v>50699940</v>
      </c>
      <c r="E39" s="136">
        <v>2.2883646019071321E-2</v>
      </c>
    </row>
    <row r="40" spans="3:5" x14ac:dyDescent="0.35">
      <c r="C40" s="19" t="s">
        <v>29</v>
      </c>
      <c r="D40" s="135">
        <v>44009700</v>
      </c>
      <c r="E40" s="136">
        <v>1.9863976095544158E-2</v>
      </c>
    </row>
    <row r="41" spans="3:5" x14ac:dyDescent="0.35">
      <c r="C41" s="19" t="s">
        <v>466</v>
      </c>
      <c r="D41" s="135">
        <v>41207154</v>
      </c>
      <c r="E41" s="136">
        <v>1.8599034349732146E-2</v>
      </c>
    </row>
    <row r="42" spans="3:5" x14ac:dyDescent="0.35">
      <c r="C42" s="19" t="s">
        <v>34</v>
      </c>
      <c r="D42" s="135">
        <v>28887740.276614934</v>
      </c>
      <c r="E42" s="136">
        <v>1.3038611540386944E-2</v>
      </c>
    </row>
    <row r="43" spans="3:5" x14ac:dyDescent="0.35">
      <c r="C43" s="19" t="s">
        <v>709</v>
      </c>
      <c r="D43" s="135">
        <v>16113299</v>
      </c>
      <c r="E43" s="136">
        <v>7.2728099977131316E-3</v>
      </c>
    </row>
    <row r="44" spans="3:5" x14ac:dyDescent="0.35">
      <c r="C44" s="19" t="s">
        <v>468</v>
      </c>
      <c r="D44" s="135">
        <v>9538570</v>
      </c>
      <c r="E44" s="136">
        <v>4.3052764837223307E-3</v>
      </c>
    </row>
    <row r="45" spans="3:5" x14ac:dyDescent="0.35">
      <c r="C45" s="19" t="s">
        <v>126</v>
      </c>
      <c r="D45" s="135">
        <v>5426294</v>
      </c>
      <c r="E45" s="136">
        <v>2.4491822099081497E-3</v>
      </c>
    </row>
    <row r="46" spans="3:5" x14ac:dyDescent="0.35">
      <c r="C46" s="19" t="s">
        <v>35</v>
      </c>
      <c r="D46" s="135">
        <v>4000000</v>
      </c>
      <c r="E46" s="136">
        <v>1.8054179960821509E-3</v>
      </c>
    </row>
    <row r="47" spans="3:5" x14ac:dyDescent="0.35">
      <c r="C47" s="19" t="s">
        <v>74</v>
      </c>
      <c r="D47" s="135">
        <v>3047923</v>
      </c>
      <c r="E47" s="136">
        <v>1.3756937587181743E-3</v>
      </c>
    </row>
    <row r="48" spans="3:5" x14ac:dyDescent="0.35">
      <c r="C48" s="95" t="s">
        <v>36</v>
      </c>
      <c r="D48" s="97">
        <v>2215553411.2766151</v>
      </c>
      <c r="E48" s="138">
        <v>1</v>
      </c>
    </row>
  </sheetData>
  <autoFilter ref="C28:E49" xr:uid="{34A8A7D6-E529-424A-9564-55EDBBC60658}"/>
  <mergeCells count="10">
    <mergeCell ref="C19:D19"/>
    <mergeCell ref="G19:H19"/>
    <mergeCell ref="C8:E8"/>
    <mergeCell ref="G8:I8"/>
    <mergeCell ref="C9:C10"/>
    <mergeCell ref="D9:D10"/>
    <mergeCell ref="E9:E10"/>
    <mergeCell ref="G9:G10"/>
    <mergeCell ref="H9:H10"/>
    <mergeCell ref="I9:I10"/>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93564-3F77-40E9-B9EA-F4C11C4F67AA}">
  <dimension ref="C1:K136"/>
  <sheetViews>
    <sheetView topLeftCell="A94" zoomScale="80" zoomScaleNormal="80" workbookViewId="0">
      <selection activeCell="K100" sqref="K100"/>
    </sheetView>
  </sheetViews>
  <sheetFormatPr baseColWidth="10" defaultRowHeight="14.5" x14ac:dyDescent="0.35"/>
  <cols>
    <col min="3" max="3" width="25.54296875" bestFit="1" customWidth="1"/>
    <col min="4" max="4" width="28" customWidth="1"/>
    <col min="5" max="5" width="18.6328125" bestFit="1" customWidth="1"/>
    <col min="6" max="6" width="18.6328125" customWidth="1"/>
    <col min="7" max="7" width="20.6328125" bestFit="1" customWidth="1"/>
    <col min="8" max="8" width="14.08984375" bestFit="1" customWidth="1"/>
    <col min="9" max="10" width="10.81640625" bestFit="1" customWidth="1"/>
  </cols>
  <sheetData>
    <row r="1" spans="3:11" ht="15" thickBot="1" x14ac:dyDescent="0.4"/>
    <row r="2" spans="3:11" ht="42.5" thickBot="1" x14ac:dyDescent="0.4">
      <c r="C2" s="29" t="s">
        <v>256</v>
      </c>
      <c r="D2" s="30" t="s">
        <v>257</v>
      </c>
      <c r="E2" s="29" t="s">
        <v>258</v>
      </c>
      <c r="F2" s="30" t="s">
        <v>259</v>
      </c>
      <c r="G2" s="30" t="s">
        <v>260</v>
      </c>
      <c r="H2" s="29" t="s">
        <v>261</v>
      </c>
      <c r="I2" s="30" t="s">
        <v>262</v>
      </c>
      <c r="J2" s="30" t="s">
        <v>263</v>
      </c>
      <c r="K2" s="30" t="s">
        <v>255</v>
      </c>
    </row>
    <row r="3" spans="3:11" ht="29.5" thickBot="1" x14ac:dyDescent="0.4">
      <c r="C3" s="37" t="s">
        <v>50</v>
      </c>
      <c r="D3" s="49" t="s">
        <v>669</v>
      </c>
      <c r="E3" s="98" t="s">
        <v>464</v>
      </c>
      <c r="F3" s="43">
        <v>46064</v>
      </c>
      <c r="G3" s="98" t="s">
        <v>714</v>
      </c>
      <c r="H3" s="99">
        <v>144800000</v>
      </c>
      <c r="I3" s="36" t="s">
        <v>45</v>
      </c>
      <c r="J3" s="43">
        <v>46113</v>
      </c>
      <c r="K3" s="43" t="s">
        <v>266</v>
      </c>
    </row>
    <row r="4" spans="3:11" ht="29.5" thickBot="1" x14ac:dyDescent="0.4">
      <c r="C4" s="31" t="s">
        <v>131</v>
      </c>
      <c r="D4" s="50" t="s">
        <v>564</v>
      </c>
      <c r="E4" s="100" t="s">
        <v>464</v>
      </c>
      <c r="F4" s="42">
        <v>46076</v>
      </c>
      <c r="G4" s="100" t="s">
        <v>715</v>
      </c>
      <c r="H4" s="35">
        <v>87200000</v>
      </c>
      <c r="I4" s="36" t="s">
        <v>45</v>
      </c>
      <c r="J4" s="42">
        <v>46113</v>
      </c>
      <c r="K4" s="42" t="s">
        <v>266</v>
      </c>
    </row>
    <row r="5" spans="3:11" ht="131" thickBot="1" x14ac:dyDescent="0.4">
      <c r="C5" s="37" t="s">
        <v>105</v>
      </c>
      <c r="D5" s="49" t="s">
        <v>716</v>
      </c>
      <c r="E5" s="98" t="s">
        <v>25</v>
      </c>
      <c r="F5" s="43">
        <v>46080</v>
      </c>
      <c r="G5" s="98" t="s">
        <v>717</v>
      </c>
      <c r="H5" s="99">
        <v>81526900</v>
      </c>
      <c r="I5" s="36" t="s">
        <v>45</v>
      </c>
      <c r="J5" s="43">
        <v>46113</v>
      </c>
      <c r="K5" s="43" t="s">
        <v>266</v>
      </c>
    </row>
    <row r="6" spans="3:11" ht="145.5" thickBot="1" x14ac:dyDescent="0.4">
      <c r="C6" s="31" t="s">
        <v>174</v>
      </c>
      <c r="D6" s="50" t="s">
        <v>853</v>
      </c>
      <c r="E6" s="100" t="s">
        <v>25</v>
      </c>
      <c r="F6" s="42">
        <v>46055</v>
      </c>
      <c r="G6" s="100" t="s">
        <v>718</v>
      </c>
      <c r="H6" s="35">
        <v>81526900</v>
      </c>
      <c r="I6" s="36" t="s">
        <v>45</v>
      </c>
      <c r="J6" s="42">
        <v>46113</v>
      </c>
      <c r="K6" s="42" t="s">
        <v>266</v>
      </c>
    </row>
    <row r="7" spans="3:11" ht="29.5" thickBot="1" x14ac:dyDescent="0.4">
      <c r="C7" s="37" t="s">
        <v>395</v>
      </c>
      <c r="D7" s="49" t="s">
        <v>396</v>
      </c>
      <c r="E7" s="98" t="s">
        <v>25</v>
      </c>
      <c r="F7" s="43">
        <v>46086</v>
      </c>
      <c r="G7" s="98" t="s">
        <v>719</v>
      </c>
      <c r="H7" s="99">
        <v>19992000</v>
      </c>
      <c r="I7" s="36" t="s">
        <v>45</v>
      </c>
      <c r="J7" s="43">
        <v>46113</v>
      </c>
      <c r="K7" s="43" t="s">
        <v>266</v>
      </c>
    </row>
    <row r="8" spans="3:11" ht="29.5" thickBot="1" x14ac:dyDescent="0.4">
      <c r="C8" s="31" t="s">
        <v>89</v>
      </c>
      <c r="D8" s="50" t="s">
        <v>852</v>
      </c>
      <c r="E8" s="100" t="s">
        <v>25</v>
      </c>
      <c r="F8" s="42">
        <v>46085</v>
      </c>
      <c r="G8" s="100" t="s">
        <v>720</v>
      </c>
      <c r="H8" s="35">
        <v>8663200</v>
      </c>
      <c r="I8" s="36" t="s">
        <v>45</v>
      </c>
      <c r="J8" s="42">
        <v>46113</v>
      </c>
      <c r="K8" s="42" t="s">
        <v>266</v>
      </c>
    </row>
    <row r="9" spans="3:11" ht="15" thickBot="1" x14ac:dyDescent="0.4">
      <c r="C9" s="37" t="s">
        <v>481</v>
      </c>
      <c r="D9" s="49" t="s">
        <v>74</v>
      </c>
      <c r="E9" s="98" t="s">
        <v>709</v>
      </c>
      <c r="F9" s="43">
        <v>46092</v>
      </c>
      <c r="G9" s="98" t="s">
        <v>721</v>
      </c>
      <c r="H9" s="99">
        <v>4329000</v>
      </c>
      <c r="I9" s="36" t="s">
        <v>45</v>
      </c>
      <c r="J9" s="43">
        <v>46113</v>
      </c>
      <c r="K9" s="43" t="s">
        <v>266</v>
      </c>
    </row>
    <row r="10" spans="3:11" ht="29.5" thickBot="1" x14ac:dyDescent="0.4">
      <c r="C10" s="31" t="s">
        <v>195</v>
      </c>
      <c r="D10" s="50" t="s">
        <v>554</v>
      </c>
      <c r="E10" s="100" t="s">
        <v>35</v>
      </c>
      <c r="F10" s="42">
        <v>46093</v>
      </c>
      <c r="G10" s="100" t="s">
        <v>722</v>
      </c>
      <c r="H10" s="35">
        <v>4000000</v>
      </c>
      <c r="I10" s="36" t="s">
        <v>45</v>
      </c>
      <c r="J10" s="42">
        <v>46113</v>
      </c>
      <c r="K10" s="42" t="s">
        <v>266</v>
      </c>
    </row>
    <row r="11" spans="3:11" ht="29.5" thickBot="1" x14ac:dyDescent="0.4">
      <c r="C11" s="37" t="s">
        <v>125</v>
      </c>
      <c r="D11" s="49" t="s">
        <v>74</v>
      </c>
      <c r="E11" s="98" t="s">
        <v>126</v>
      </c>
      <c r="F11" s="43">
        <v>46084</v>
      </c>
      <c r="G11" s="98" t="s">
        <v>723</v>
      </c>
      <c r="H11" s="99">
        <v>2578254</v>
      </c>
      <c r="I11" s="36" t="s">
        <v>45</v>
      </c>
      <c r="J11" s="43">
        <v>46113</v>
      </c>
      <c r="K11" s="43" t="s">
        <v>266</v>
      </c>
    </row>
    <row r="12" spans="3:11" ht="73" thickBot="1" x14ac:dyDescent="0.4">
      <c r="C12" s="31" t="s">
        <v>481</v>
      </c>
      <c r="D12" s="50" t="s">
        <v>724</v>
      </c>
      <c r="E12" s="100" t="s">
        <v>28</v>
      </c>
      <c r="F12" s="42">
        <v>46092</v>
      </c>
      <c r="G12" s="100" t="s">
        <v>725</v>
      </c>
      <c r="H12" s="35">
        <v>1750000</v>
      </c>
      <c r="I12" s="36" t="s">
        <v>45</v>
      </c>
      <c r="J12" s="42">
        <v>46113</v>
      </c>
      <c r="K12" s="42" t="s">
        <v>266</v>
      </c>
    </row>
    <row r="13" spans="3:11" ht="87.5" thickBot="1" x14ac:dyDescent="0.4">
      <c r="C13" s="37" t="s">
        <v>398</v>
      </c>
      <c r="D13" s="49" t="s">
        <v>399</v>
      </c>
      <c r="E13" s="98" t="s">
        <v>29</v>
      </c>
      <c r="F13" s="43">
        <v>46090</v>
      </c>
      <c r="G13" s="98" t="s">
        <v>726</v>
      </c>
      <c r="H13" s="99">
        <v>1710816</v>
      </c>
      <c r="I13" s="36" t="s">
        <v>45</v>
      </c>
      <c r="J13" s="43">
        <v>46113</v>
      </c>
      <c r="K13" s="43" t="s">
        <v>266</v>
      </c>
    </row>
    <row r="14" spans="3:11" ht="87.5" thickBot="1" x14ac:dyDescent="0.4">
      <c r="C14" s="31" t="s">
        <v>481</v>
      </c>
      <c r="D14" s="50" t="s">
        <v>399</v>
      </c>
      <c r="E14" s="100" t="s">
        <v>29</v>
      </c>
      <c r="F14" s="42">
        <v>46111</v>
      </c>
      <c r="G14" s="100" t="s">
        <v>727</v>
      </c>
      <c r="H14" s="35">
        <v>1704000</v>
      </c>
      <c r="I14" s="36" t="s">
        <v>45</v>
      </c>
      <c r="J14" s="42">
        <v>46113</v>
      </c>
      <c r="K14" s="42" t="s">
        <v>266</v>
      </c>
    </row>
    <row r="15" spans="3:11" ht="73" thickBot="1" x14ac:dyDescent="0.4">
      <c r="C15" s="37" t="s">
        <v>378</v>
      </c>
      <c r="D15" s="49" t="s">
        <v>731</v>
      </c>
      <c r="E15" s="98" t="s">
        <v>28</v>
      </c>
      <c r="F15" s="43">
        <v>46105</v>
      </c>
      <c r="G15" s="98" t="s">
        <v>732</v>
      </c>
      <c r="H15" s="99">
        <v>500000</v>
      </c>
      <c r="I15" s="36" t="s">
        <v>45</v>
      </c>
      <c r="J15" s="43">
        <v>46113</v>
      </c>
      <c r="K15" s="43" t="s">
        <v>266</v>
      </c>
    </row>
    <row r="16" spans="3:11" ht="15" thickBot="1" x14ac:dyDescent="0.4">
      <c r="C16" s="31" t="s">
        <v>733</v>
      </c>
      <c r="D16" s="50" t="s">
        <v>141</v>
      </c>
      <c r="E16" s="100" t="s">
        <v>329</v>
      </c>
      <c r="F16" s="42" t="s">
        <v>216</v>
      </c>
      <c r="G16" s="100" t="s">
        <v>216</v>
      </c>
      <c r="H16" s="35">
        <v>133741106</v>
      </c>
      <c r="I16" s="36" t="s">
        <v>45</v>
      </c>
      <c r="J16" s="42">
        <v>46113</v>
      </c>
      <c r="K16" s="42" t="s">
        <v>266</v>
      </c>
    </row>
    <row r="17" spans="3:11" ht="15" thickBot="1" x14ac:dyDescent="0.4">
      <c r="C17" s="37" t="s">
        <v>157</v>
      </c>
      <c r="D17" s="49" t="s">
        <v>734</v>
      </c>
      <c r="E17" s="98" t="s">
        <v>735</v>
      </c>
      <c r="F17" s="43">
        <v>46079</v>
      </c>
      <c r="G17" s="98" t="s">
        <v>736</v>
      </c>
      <c r="H17" s="99">
        <v>52955000</v>
      </c>
      <c r="I17" s="36" t="s">
        <v>45</v>
      </c>
      <c r="J17" s="43">
        <v>46114</v>
      </c>
      <c r="K17" s="43" t="s">
        <v>266</v>
      </c>
    </row>
    <row r="18" spans="3:11" ht="29.5" thickBot="1" x14ac:dyDescent="0.4">
      <c r="C18" s="31" t="s">
        <v>157</v>
      </c>
      <c r="D18" s="50" t="s">
        <v>737</v>
      </c>
      <c r="E18" s="100" t="s">
        <v>25</v>
      </c>
      <c r="F18" s="42">
        <v>46062</v>
      </c>
      <c r="G18" s="100" t="s">
        <v>738</v>
      </c>
      <c r="H18" s="35">
        <v>49063700</v>
      </c>
      <c r="I18" s="36" t="s">
        <v>45</v>
      </c>
      <c r="J18" s="42">
        <v>46114</v>
      </c>
      <c r="K18" s="42" t="s">
        <v>266</v>
      </c>
    </row>
    <row r="19" spans="3:11" ht="29.5" thickBot="1" x14ac:dyDescent="0.4">
      <c r="C19" s="37" t="s">
        <v>157</v>
      </c>
      <c r="D19" s="49" t="s">
        <v>739</v>
      </c>
      <c r="E19" s="98" t="s">
        <v>25</v>
      </c>
      <c r="F19" s="43">
        <v>46062</v>
      </c>
      <c r="G19" s="98" t="s">
        <v>740</v>
      </c>
      <c r="H19" s="99">
        <v>30987600</v>
      </c>
      <c r="I19" s="36" t="s">
        <v>45</v>
      </c>
      <c r="J19" s="43">
        <v>46114</v>
      </c>
      <c r="K19" s="43" t="s">
        <v>266</v>
      </c>
    </row>
    <row r="20" spans="3:11" ht="29.5" thickBot="1" x14ac:dyDescent="0.4">
      <c r="C20" s="31" t="s">
        <v>157</v>
      </c>
      <c r="D20" s="50" t="s">
        <v>741</v>
      </c>
      <c r="E20" s="100" t="s">
        <v>25</v>
      </c>
      <c r="F20" s="42">
        <v>46062</v>
      </c>
      <c r="G20" s="100" t="s">
        <v>742</v>
      </c>
      <c r="H20" s="35">
        <v>28036400</v>
      </c>
      <c r="I20" s="36" t="s">
        <v>45</v>
      </c>
      <c r="J20" s="42">
        <v>46114</v>
      </c>
      <c r="K20" s="42" t="s">
        <v>266</v>
      </c>
    </row>
    <row r="21" spans="3:11" ht="29.5" thickBot="1" x14ac:dyDescent="0.4">
      <c r="C21" s="37" t="s">
        <v>157</v>
      </c>
      <c r="D21" s="49" t="s">
        <v>743</v>
      </c>
      <c r="E21" s="98" t="s">
        <v>25</v>
      </c>
      <c r="F21" s="43">
        <v>46062</v>
      </c>
      <c r="G21" s="98" t="s">
        <v>744</v>
      </c>
      <c r="H21" s="99">
        <v>19182800</v>
      </c>
      <c r="I21" s="36" t="s">
        <v>45</v>
      </c>
      <c r="J21" s="43">
        <v>46114</v>
      </c>
      <c r="K21" s="43" t="s">
        <v>266</v>
      </c>
    </row>
    <row r="22" spans="3:11" ht="73" thickBot="1" x14ac:dyDescent="0.4">
      <c r="C22" s="31" t="s">
        <v>745</v>
      </c>
      <c r="D22" s="50" t="s">
        <v>272</v>
      </c>
      <c r="E22" s="100" t="s">
        <v>534</v>
      </c>
      <c r="F22" s="42">
        <v>46118</v>
      </c>
      <c r="G22" s="100" t="s">
        <v>746</v>
      </c>
      <c r="H22" s="35">
        <v>1053150</v>
      </c>
      <c r="I22" s="36" t="s">
        <v>45</v>
      </c>
      <c r="J22" s="42">
        <v>46119</v>
      </c>
      <c r="K22" s="42" t="s">
        <v>266</v>
      </c>
    </row>
    <row r="23" spans="3:11" ht="29.5" thickBot="1" x14ac:dyDescent="0.4">
      <c r="C23" s="37" t="s">
        <v>87</v>
      </c>
      <c r="D23" s="49" t="s">
        <v>74</v>
      </c>
      <c r="E23" s="98" t="s">
        <v>126</v>
      </c>
      <c r="F23" s="43">
        <v>46118</v>
      </c>
      <c r="G23" s="98" t="s">
        <v>747</v>
      </c>
      <c r="H23" s="99">
        <v>330000</v>
      </c>
      <c r="I23" s="36" t="s">
        <v>45</v>
      </c>
      <c r="J23" s="43">
        <v>46119</v>
      </c>
      <c r="K23" s="43" t="s">
        <v>266</v>
      </c>
    </row>
    <row r="24" spans="3:11" ht="73" thickBot="1" x14ac:dyDescent="0.4">
      <c r="C24" s="31" t="s">
        <v>748</v>
      </c>
      <c r="D24" s="50" t="s">
        <v>749</v>
      </c>
      <c r="E24" s="100" t="s">
        <v>28</v>
      </c>
      <c r="F24" s="42">
        <v>46121</v>
      </c>
      <c r="G24" s="100" t="s">
        <v>750</v>
      </c>
      <c r="H24" s="35">
        <v>5850000</v>
      </c>
      <c r="I24" s="36" t="s">
        <v>45</v>
      </c>
      <c r="J24" s="42">
        <v>46121</v>
      </c>
      <c r="K24" s="42" t="s">
        <v>266</v>
      </c>
    </row>
    <row r="25" spans="3:11" ht="73" thickBot="1" x14ac:dyDescent="0.4">
      <c r="C25" s="37" t="s">
        <v>751</v>
      </c>
      <c r="D25" s="49" t="s">
        <v>752</v>
      </c>
      <c r="E25" s="98" t="s">
        <v>28</v>
      </c>
      <c r="F25" s="43">
        <v>46119</v>
      </c>
      <c r="G25" s="98" t="s">
        <v>753</v>
      </c>
      <c r="H25" s="99">
        <v>1666000</v>
      </c>
      <c r="I25" s="36" t="s">
        <v>45</v>
      </c>
      <c r="J25" s="43">
        <v>46121</v>
      </c>
      <c r="K25" s="43" t="s">
        <v>266</v>
      </c>
    </row>
    <row r="26" spans="3:11" ht="29.5" thickBot="1" x14ac:dyDescent="0.4">
      <c r="C26" s="31" t="s">
        <v>754</v>
      </c>
      <c r="D26" s="50" t="s">
        <v>755</v>
      </c>
      <c r="E26" s="100" t="s">
        <v>25</v>
      </c>
      <c r="F26" s="42">
        <v>46120</v>
      </c>
      <c r="G26" s="100" t="s">
        <v>756</v>
      </c>
      <c r="H26" s="35">
        <v>166600</v>
      </c>
      <c r="I26" s="36" t="s">
        <v>45</v>
      </c>
      <c r="J26" s="42">
        <v>46121</v>
      </c>
      <c r="K26" s="42" t="s">
        <v>266</v>
      </c>
    </row>
    <row r="27" spans="3:11" ht="58.5" thickBot="1" x14ac:dyDescent="0.4">
      <c r="C27" s="37" t="s">
        <v>757</v>
      </c>
      <c r="D27" s="49" t="s">
        <v>758</v>
      </c>
      <c r="E27" s="98" t="s">
        <v>735</v>
      </c>
      <c r="F27" s="43">
        <v>46120</v>
      </c>
      <c r="G27" s="98" t="s">
        <v>759</v>
      </c>
      <c r="H27" s="99">
        <v>11344203</v>
      </c>
      <c r="I27" s="36" t="s">
        <v>45</v>
      </c>
      <c r="J27" s="43">
        <v>46121</v>
      </c>
      <c r="K27" s="43" t="s">
        <v>266</v>
      </c>
    </row>
    <row r="28" spans="3:11" ht="73" thickBot="1" x14ac:dyDescent="0.4">
      <c r="C28" s="31" t="s">
        <v>77</v>
      </c>
      <c r="D28" s="50" t="s">
        <v>760</v>
      </c>
      <c r="E28" s="100" t="s">
        <v>28</v>
      </c>
      <c r="F28" s="42">
        <v>46119</v>
      </c>
      <c r="G28" s="100" t="s">
        <v>761</v>
      </c>
      <c r="H28" s="35">
        <v>12000000</v>
      </c>
      <c r="I28" s="36" t="s">
        <v>45</v>
      </c>
      <c r="J28" s="42">
        <v>46122</v>
      </c>
      <c r="K28" s="42" t="s">
        <v>266</v>
      </c>
    </row>
    <row r="29" spans="3:11" ht="29.5" thickBot="1" x14ac:dyDescent="0.4">
      <c r="C29" s="37" t="s">
        <v>185</v>
      </c>
      <c r="D29" s="49" t="s">
        <v>74</v>
      </c>
      <c r="E29" s="98" t="s">
        <v>30</v>
      </c>
      <c r="F29" s="43">
        <v>46118</v>
      </c>
      <c r="G29" s="98" t="s">
        <v>762</v>
      </c>
      <c r="H29" s="99">
        <v>6593913</v>
      </c>
      <c r="I29" s="36" t="s">
        <v>45</v>
      </c>
      <c r="J29" s="43">
        <v>46122</v>
      </c>
      <c r="K29" s="43" t="s">
        <v>266</v>
      </c>
    </row>
    <row r="30" spans="3:11" ht="29.5" thickBot="1" x14ac:dyDescent="0.4">
      <c r="C30" s="31" t="s">
        <v>763</v>
      </c>
      <c r="D30" s="50" t="s">
        <v>74</v>
      </c>
      <c r="E30" s="100" t="s">
        <v>74</v>
      </c>
      <c r="F30" s="42">
        <v>46118</v>
      </c>
      <c r="G30" s="100" t="s">
        <v>764</v>
      </c>
      <c r="H30" s="35">
        <v>3047923</v>
      </c>
      <c r="I30" s="36" t="s">
        <v>45</v>
      </c>
      <c r="J30" s="42">
        <v>46122</v>
      </c>
      <c r="K30" s="42" t="s">
        <v>266</v>
      </c>
    </row>
    <row r="31" spans="3:11" ht="29.5" thickBot="1" x14ac:dyDescent="0.4">
      <c r="C31" s="37" t="s">
        <v>280</v>
      </c>
      <c r="D31" s="49" t="s">
        <v>74</v>
      </c>
      <c r="E31" s="98" t="s">
        <v>30</v>
      </c>
      <c r="F31" s="43">
        <v>46112</v>
      </c>
      <c r="G31" s="98" t="s">
        <v>765</v>
      </c>
      <c r="H31" s="99">
        <v>1723989</v>
      </c>
      <c r="I31" s="36" t="s">
        <v>45</v>
      </c>
      <c r="J31" s="43">
        <v>46122</v>
      </c>
      <c r="K31" s="43" t="s">
        <v>266</v>
      </c>
    </row>
    <row r="32" spans="3:11" ht="29.5" thickBot="1" x14ac:dyDescent="0.4">
      <c r="C32" s="31" t="s">
        <v>280</v>
      </c>
      <c r="D32" s="50" t="s">
        <v>74</v>
      </c>
      <c r="E32" s="100" t="s">
        <v>30</v>
      </c>
      <c r="F32" s="42">
        <v>46118</v>
      </c>
      <c r="G32" s="100" t="s">
        <v>766</v>
      </c>
      <c r="H32" s="35">
        <v>1162767</v>
      </c>
      <c r="I32" s="36" t="s">
        <v>45</v>
      </c>
      <c r="J32" s="42">
        <v>46122</v>
      </c>
      <c r="K32" s="42" t="s">
        <v>266</v>
      </c>
    </row>
    <row r="33" spans="3:11" ht="73" thickBot="1" x14ac:dyDescent="0.4">
      <c r="C33" s="37" t="s">
        <v>135</v>
      </c>
      <c r="D33" s="49" t="s">
        <v>272</v>
      </c>
      <c r="E33" s="98" t="s">
        <v>534</v>
      </c>
      <c r="F33" s="43">
        <v>46122</v>
      </c>
      <c r="G33" s="98" t="s">
        <v>767</v>
      </c>
      <c r="H33" s="99">
        <v>3349136</v>
      </c>
      <c r="I33" s="36" t="s">
        <v>45</v>
      </c>
      <c r="J33" s="43">
        <v>46124</v>
      </c>
      <c r="K33" s="43" t="s">
        <v>266</v>
      </c>
    </row>
    <row r="34" spans="3:11" ht="29.5" thickBot="1" x14ac:dyDescent="0.4">
      <c r="C34" s="31" t="s">
        <v>768</v>
      </c>
      <c r="D34" s="50" t="s">
        <v>74</v>
      </c>
      <c r="E34" s="100" t="s">
        <v>30</v>
      </c>
      <c r="F34" s="42">
        <v>46121</v>
      </c>
      <c r="G34" s="100" t="s">
        <v>769</v>
      </c>
      <c r="H34" s="35">
        <v>224000</v>
      </c>
      <c r="I34" s="36" t="s">
        <v>45</v>
      </c>
      <c r="J34" s="42">
        <v>46124</v>
      </c>
      <c r="K34" s="42" t="s">
        <v>266</v>
      </c>
    </row>
    <row r="35" spans="3:11" ht="329.5" customHeight="1" thickBot="1" x14ac:dyDescent="0.4">
      <c r="C35" s="37" t="s">
        <v>148</v>
      </c>
      <c r="D35" s="49"/>
      <c r="E35" s="98" t="s">
        <v>25</v>
      </c>
      <c r="F35" s="43">
        <v>46088</v>
      </c>
      <c r="G35" s="98" t="s">
        <v>770</v>
      </c>
      <c r="H35" s="99">
        <v>32567968</v>
      </c>
      <c r="I35" s="36" t="s">
        <v>45</v>
      </c>
      <c r="J35" s="43">
        <v>46126</v>
      </c>
      <c r="K35" s="43" t="s">
        <v>266</v>
      </c>
    </row>
    <row r="36" spans="3:11" ht="29.5" thickBot="1" x14ac:dyDescent="0.4">
      <c r="C36" s="31" t="s">
        <v>771</v>
      </c>
      <c r="D36" s="50" t="s">
        <v>669</v>
      </c>
      <c r="E36" s="100" t="s">
        <v>464</v>
      </c>
      <c r="F36" s="42">
        <v>46084</v>
      </c>
      <c r="G36" s="100" t="s">
        <v>772</v>
      </c>
      <c r="H36" s="35">
        <v>23375000</v>
      </c>
      <c r="I36" s="36" t="s">
        <v>45</v>
      </c>
      <c r="J36" s="42">
        <v>46126</v>
      </c>
      <c r="K36" s="42" t="s">
        <v>266</v>
      </c>
    </row>
    <row r="37" spans="3:11" ht="29.5" thickBot="1" x14ac:dyDescent="0.4">
      <c r="C37" s="37" t="s">
        <v>773</v>
      </c>
      <c r="D37" s="49" t="s">
        <v>74</v>
      </c>
      <c r="E37" s="98" t="s">
        <v>30</v>
      </c>
      <c r="F37" s="43">
        <v>46119</v>
      </c>
      <c r="G37" s="98" t="s">
        <v>774</v>
      </c>
      <c r="H37" s="99">
        <v>16450003</v>
      </c>
      <c r="I37" s="36" t="s">
        <v>45</v>
      </c>
      <c r="J37" s="43">
        <v>46126</v>
      </c>
      <c r="K37" s="43" t="s">
        <v>266</v>
      </c>
    </row>
    <row r="38" spans="3:11" ht="73" thickBot="1" x14ac:dyDescent="0.4">
      <c r="C38" s="31" t="s">
        <v>775</v>
      </c>
      <c r="D38" s="50" t="s">
        <v>776</v>
      </c>
      <c r="E38" s="100" t="s">
        <v>28</v>
      </c>
      <c r="F38" s="42">
        <v>46113</v>
      </c>
      <c r="G38" s="100" t="s">
        <v>777</v>
      </c>
      <c r="H38" s="35">
        <v>8000000</v>
      </c>
      <c r="I38" s="36" t="s">
        <v>45</v>
      </c>
      <c r="J38" s="42">
        <v>46126</v>
      </c>
      <c r="K38" s="42" t="s">
        <v>266</v>
      </c>
    </row>
    <row r="39" spans="3:11" ht="15" thickBot="1" x14ac:dyDescent="0.4">
      <c r="C39" s="37" t="s">
        <v>73</v>
      </c>
      <c r="D39" s="49" t="s">
        <v>32</v>
      </c>
      <c r="E39" s="98" t="s">
        <v>709</v>
      </c>
      <c r="F39" s="43">
        <v>46098</v>
      </c>
      <c r="G39" s="98" t="s">
        <v>779</v>
      </c>
      <c r="H39" s="99">
        <v>4406500</v>
      </c>
      <c r="I39" s="36" t="s">
        <v>45</v>
      </c>
      <c r="J39" s="43">
        <v>46126</v>
      </c>
      <c r="K39" s="43" t="s">
        <v>266</v>
      </c>
    </row>
    <row r="40" spans="3:11" ht="29.5" thickBot="1" x14ac:dyDescent="0.4">
      <c r="C40" s="31" t="s">
        <v>111</v>
      </c>
      <c r="D40" s="50" t="s">
        <v>781</v>
      </c>
      <c r="E40" s="100" t="s">
        <v>25</v>
      </c>
      <c r="F40" s="42">
        <v>46090</v>
      </c>
      <c r="G40" s="100" t="s">
        <v>782</v>
      </c>
      <c r="H40" s="35">
        <v>4000000</v>
      </c>
      <c r="I40" s="36" t="s">
        <v>45</v>
      </c>
      <c r="J40" s="42">
        <v>46126</v>
      </c>
      <c r="K40" s="42" t="s">
        <v>266</v>
      </c>
    </row>
    <row r="41" spans="3:11" ht="15" thickBot="1" x14ac:dyDescent="0.4">
      <c r="C41" s="37" t="s">
        <v>73</v>
      </c>
      <c r="D41" s="49" t="s">
        <v>74</v>
      </c>
      <c r="E41" s="98" t="s">
        <v>709</v>
      </c>
      <c r="F41" s="43">
        <v>46097</v>
      </c>
      <c r="G41" s="98" t="s">
        <v>784</v>
      </c>
      <c r="H41" s="99">
        <v>3087000</v>
      </c>
      <c r="I41" s="36" t="s">
        <v>45</v>
      </c>
      <c r="J41" s="43">
        <v>46126</v>
      </c>
      <c r="K41" s="43" t="s">
        <v>266</v>
      </c>
    </row>
    <row r="42" spans="3:11" ht="29.5" thickBot="1" x14ac:dyDescent="0.4">
      <c r="C42" s="31" t="s">
        <v>786</v>
      </c>
      <c r="D42" s="50" t="s">
        <v>74</v>
      </c>
      <c r="E42" s="100" t="s">
        <v>30</v>
      </c>
      <c r="F42" s="42">
        <v>46126</v>
      </c>
      <c r="G42" s="100" t="s">
        <v>787</v>
      </c>
      <c r="H42" s="35">
        <v>2438072</v>
      </c>
      <c r="I42" s="36" t="s">
        <v>45</v>
      </c>
      <c r="J42" s="42">
        <v>46126</v>
      </c>
      <c r="K42" s="42" t="s">
        <v>266</v>
      </c>
    </row>
    <row r="43" spans="3:11" ht="73" thickBot="1" x14ac:dyDescent="0.4">
      <c r="C43" s="37" t="s">
        <v>71</v>
      </c>
      <c r="D43" s="49" t="s">
        <v>272</v>
      </c>
      <c r="E43" s="98" t="s">
        <v>534</v>
      </c>
      <c r="F43" s="43">
        <v>46098</v>
      </c>
      <c r="G43" s="98" t="s">
        <v>788</v>
      </c>
      <c r="H43" s="99">
        <v>2159100</v>
      </c>
      <c r="I43" s="36" t="s">
        <v>45</v>
      </c>
      <c r="J43" s="43">
        <v>46126</v>
      </c>
      <c r="K43" s="43" t="s">
        <v>266</v>
      </c>
    </row>
    <row r="44" spans="3:11" ht="73" thickBot="1" x14ac:dyDescent="0.4">
      <c r="C44" s="31" t="s">
        <v>789</v>
      </c>
      <c r="D44" s="50" t="s">
        <v>504</v>
      </c>
      <c r="E44" s="100" t="s">
        <v>28</v>
      </c>
      <c r="F44" s="42">
        <v>46090</v>
      </c>
      <c r="G44" s="100" t="s">
        <v>790</v>
      </c>
      <c r="H44" s="35">
        <v>2000000</v>
      </c>
      <c r="I44" s="36" t="s">
        <v>45</v>
      </c>
      <c r="J44" s="42">
        <v>46126</v>
      </c>
      <c r="K44" s="42" t="s">
        <v>266</v>
      </c>
    </row>
    <row r="45" spans="3:11" ht="73" thickBot="1" x14ac:dyDescent="0.4">
      <c r="C45" s="37" t="s">
        <v>71</v>
      </c>
      <c r="D45" s="49" t="s">
        <v>272</v>
      </c>
      <c r="E45" s="98" t="s">
        <v>534</v>
      </c>
      <c r="F45" s="43">
        <v>46120</v>
      </c>
      <c r="G45" s="98" t="s">
        <v>791</v>
      </c>
      <c r="H45" s="99">
        <v>1933600</v>
      </c>
      <c r="I45" s="36" t="s">
        <v>45</v>
      </c>
      <c r="J45" s="43">
        <v>46126</v>
      </c>
      <c r="K45" s="43" t="s">
        <v>266</v>
      </c>
    </row>
    <row r="46" spans="3:11" ht="73" thickBot="1" x14ac:dyDescent="0.4">
      <c r="C46" s="31" t="s">
        <v>97</v>
      </c>
      <c r="D46" s="50" t="s">
        <v>272</v>
      </c>
      <c r="E46" s="100" t="s">
        <v>534</v>
      </c>
      <c r="F46" s="42">
        <v>46118</v>
      </c>
      <c r="G46" s="100" t="s">
        <v>761</v>
      </c>
      <c r="H46" s="35">
        <v>1832000</v>
      </c>
      <c r="I46" s="36" t="s">
        <v>45</v>
      </c>
      <c r="J46" s="42">
        <v>46126</v>
      </c>
      <c r="K46" s="42" t="s">
        <v>266</v>
      </c>
    </row>
    <row r="47" spans="3:11" ht="15" thickBot="1" x14ac:dyDescent="0.4">
      <c r="C47" s="37" t="s">
        <v>73</v>
      </c>
      <c r="D47" s="49" t="s">
        <v>74</v>
      </c>
      <c r="E47" s="98" t="s">
        <v>709</v>
      </c>
      <c r="F47" s="43">
        <v>46094</v>
      </c>
      <c r="G47" s="98" t="s">
        <v>794</v>
      </c>
      <c r="H47" s="99">
        <v>1415000</v>
      </c>
      <c r="I47" s="36" t="s">
        <v>45</v>
      </c>
      <c r="J47" s="43">
        <v>46126</v>
      </c>
      <c r="K47" s="43" t="s">
        <v>266</v>
      </c>
    </row>
    <row r="48" spans="3:11" ht="73" thickBot="1" x14ac:dyDescent="0.4">
      <c r="C48" s="31" t="s">
        <v>71</v>
      </c>
      <c r="D48" s="50" t="s">
        <v>272</v>
      </c>
      <c r="E48" s="100" t="s">
        <v>534</v>
      </c>
      <c r="F48" s="42">
        <v>46111</v>
      </c>
      <c r="G48" s="100" t="s">
        <v>795</v>
      </c>
      <c r="H48" s="35">
        <v>1174950</v>
      </c>
      <c r="I48" s="36" t="s">
        <v>45</v>
      </c>
      <c r="J48" s="42">
        <v>46126</v>
      </c>
      <c r="K48" s="42" t="s">
        <v>266</v>
      </c>
    </row>
    <row r="49" spans="3:11" ht="29.5" thickBot="1" x14ac:dyDescent="0.4">
      <c r="C49" s="37" t="s">
        <v>185</v>
      </c>
      <c r="D49" s="49" t="s">
        <v>74</v>
      </c>
      <c r="E49" s="98" t="s">
        <v>30</v>
      </c>
      <c r="F49" s="43">
        <v>46125</v>
      </c>
      <c r="G49" s="98" t="s">
        <v>796</v>
      </c>
      <c r="H49" s="99">
        <v>1163099</v>
      </c>
      <c r="I49" s="36" t="s">
        <v>45</v>
      </c>
      <c r="J49" s="43">
        <v>46126</v>
      </c>
      <c r="K49" s="43" t="s">
        <v>266</v>
      </c>
    </row>
    <row r="50" spans="3:11" ht="73" thickBot="1" x14ac:dyDescent="0.4">
      <c r="C50" s="31" t="s">
        <v>122</v>
      </c>
      <c r="D50" s="50" t="s">
        <v>123</v>
      </c>
      <c r="E50" s="100" t="s">
        <v>534</v>
      </c>
      <c r="F50" s="42">
        <v>46086</v>
      </c>
      <c r="G50" s="100" t="s">
        <v>797</v>
      </c>
      <c r="H50" s="35">
        <v>1116000</v>
      </c>
      <c r="I50" s="36" t="s">
        <v>45</v>
      </c>
      <c r="J50" s="42">
        <v>46126</v>
      </c>
      <c r="K50" s="42" t="s">
        <v>266</v>
      </c>
    </row>
    <row r="51" spans="3:11" ht="73" thickBot="1" x14ac:dyDescent="0.4">
      <c r="C51" s="37" t="s">
        <v>427</v>
      </c>
      <c r="D51" s="49" t="s">
        <v>272</v>
      </c>
      <c r="E51" s="98" t="s">
        <v>534</v>
      </c>
      <c r="F51" s="43">
        <v>46122</v>
      </c>
      <c r="G51" s="98" t="s">
        <v>798</v>
      </c>
      <c r="H51" s="99">
        <v>906780</v>
      </c>
      <c r="I51" s="36" t="s">
        <v>45</v>
      </c>
      <c r="J51" s="43">
        <v>46126</v>
      </c>
      <c r="K51" s="43" t="s">
        <v>266</v>
      </c>
    </row>
    <row r="52" spans="3:11" ht="29.5" thickBot="1" x14ac:dyDescent="0.4">
      <c r="C52" s="31" t="s">
        <v>799</v>
      </c>
      <c r="D52" s="50" t="s">
        <v>74</v>
      </c>
      <c r="E52" s="100" t="s">
        <v>30</v>
      </c>
      <c r="F52" s="42">
        <v>46125</v>
      </c>
      <c r="G52" s="100" t="s">
        <v>800</v>
      </c>
      <c r="H52" s="35">
        <v>858407</v>
      </c>
      <c r="I52" s="36" t="s">
        <v>45</v>
      </c>
      <c r="J52" s="42">
        <v>46126</v>
      </c>
      <c r="K52" s="42" t="s">
        <v>266</v>
      </c>
    </row>
    <row r="53" spans="3:11" ht="73" thickBot="1" x14ac:dyDescent="0.4">
      <c r="C53" s="37" t="s">
        <v>801</v>
      </c>
      <c r="D53" s="49" t="s">
        <v>802</v>
      </c>
      <c r="E53" s="98" t="s">
        <v>28</v>
      </c>
      <c r="F53" s="43">
        <v>46092</v>
      </c>
      <c r="G53" s="98" t="s">
        <v>92</v>
      </c>
      <c r="H53" s="99">
        <v>450000</v>
      </c>
      <c r="I53" s="36" t="s">
        <v>45</v>
      </c>
      <c r="J53" s="43">
        <v>46126</v>
      </c>
      <c r="K53" s="43" t="s">
        <v>266</v>
      </c>
    </row>
    <row r="54" spans="3:11" ht="73" thickBot="1" x14ac:dyDescent="0.4">
      <c r="C54" s="31" t="s">
        <v>113</v>
      </c>
      <c r="D54" s="50" t="s">
        <v>114</v>
      </c>
      <c r="E54" s="100" t="s">
        <v>534</v>
      </c>
      <c r="F54" s="42">
        <v>46085</v>
      </c>
      <c r="G54" s="100" t="s">
        <v>804</v>
      </c>
      <c r="H54" s="35">
        <v>270000</v>
      </c>
      <c r="I54" s="36" t="s">
        <v>45</v>
      </c>
      <c r="J54" s="42">
        <v>46126</v>
      </c>
      <c r="K54" s="42" t="s">
        <v>266</v>
      </c>
    </row>
    <row r="55" spans="3:11" ht="73" thickBot="1" x14ac:dyDescent="0.4">
      <c r="C55" s="37" t="s">
        <v>137</v>
      </c>
      <c r="D55" s="49" t="s">
        <v>584</v>
      </c>
      <c r="E55" s="98" t="s">
        <v>534</v>
      </c>
      <c r="F55" s="43">
        <v>46127</v>
      </c>
      <c r="G55" s="98" t="s">
        <v>805</v>
      </c>
      <c r="H55" s="99">
        <v>223189321</v>
      </c>
      <c r="I55" s="36" t="s">
        <v>45</v>
      </c>
      <c r="J55" s="43">
        <v>46127</v>
      </c>
      <c r="K55" s="43" t="s">
        <v>266</v>
      </c>
    </row>
    <row r="56" spans="3:11" ht="102" thickBot="1" x14ac:dyDescent="0.4">
      <c r="C56" s="31" t="s">
        <v>174</v>
      </c>
      <c r="D56" s="50" t="s">
        <v>809</v>
      </c>
      <c r="E56" s="100" t="s">
        <v>25</v>
      </c>
      <c r="F56" s="42">
        <v>46083</v>
      </c>
      <c r="G56" s="100" t="s">
        <v>810</v>
      </c>
      <c r="H56" s="35">
        <v>73637200</v>
      </c>
      <c r="I56" s="36" t="s">
        <v>45</v>
      </c>
      <c r="J56" s="42">
        <v>46133</v>
      </c>
      <c r="K56" s="42" t="s">
        <v>266</v>
      </c>
    </row>
    <row r="57" spans="3:11" ht="58.5" thickBot="1" x14ac:dyDescent="0.4">
      <c r="C57" s="37" t="s">
        <v>811</v>
      </c>
      <c r="D57" s="49" t="s">
        <v>319</v>
      </c>
      <c r="E57" s="98" t="s">
        <v>468</v>
      </c>
      <c r="F57" s="43">
        <v>46128</v>
      </c>
      <c r="G57" s="98" t="s">
        <v>812</v>
      </c>
      <c r="H57" s="99">
        <v>4574999</v>
      </c>
      <c r="I57" s="36" t="s">
        <v>45</v>
      </c>
      <c r="J57" s="43">
        <v>46133</v>
      </c>
      <c r="K57" s="43" t="s">
        <v>266</v>
      </c>
    </row>
    <row r="58" spans="3:11" ht="73" thickBot="1" x14ac:dyDescent="0.4">
      <c r="C58" s="31" t="s">
        <v>536</v>
      </c>
      <c r="D58" s="50" t="s">
        <v>84</v>
      </c>
      <c r="E58" s="100" t="s">
        <v>28</v>
      </c>
      <c r="F58" s="42">
        <v>46112</v>
      </c>
      <c r="G58" s="100" t="s">
        <v>86</v>
      </c>
      <c r="H58" s="35">
        <v>1925120</v>
      </c>
      <c r="I58" s="36" t="s">
        <v>45</v>
      </c>
      <c r="J58" s="42">
        <v>46133</v>
      </c>
      <c r="K58" s="42" t="s">
        <v>266</v>
      </c>
    </row>
    <row r="59" spans="3:11" ht="29.5" thickBot="1" x14ac:dyDescent="0.4">
      <c r="C59" s="37" t="s">
        <v>813</v>
      </c>
      <c r="D59" s="49" t="s">
        <v>74</v>
      </c>
      <c r="E59" s="98" t="s">
        <v>30</v>
      </c>
      <c r="F59" s="43">
        <v>46128</v>
      </c>
      <c r="G59" s="98" t="s">
        <v>814</v>
      </c>
      <c r="H59" s="99">
        <v>1079568</v>
      </c>
      <c r="I59" s="36" t="s">
        <v>45</v>
      </c>
      <c r="J59" s="43">
        <v>46133</v>
      </c>
      <c r="K59" s="43" t="s">
        <v>266</v>
      </c>
    </row>
    <row r="60" spans="3:11" ht="29.5" thickBot="1" x14ac:dyDescent="0.4">
      <c r="C60" s="31" t="s">
        <v>87</v>
      </c>
      <c r="D60" s="50" t="s">
        <v>74</v>
      </c>
      <c r="E60" s="100" t="s">
        <v>30</v>
      </c>
      <c r="F60" s="42">
        <v>46129</v>
      </c>
      <c r="G60" s="100" t="s">
        <v>815</v>
      </c>
      <c r="H60" s="35">
        <v>1026001</v>
      </c>
      <c r="I60" s="36" t="s">
        <v>45</v>
      </c>
      <c r="J60" s="42">
        <v>46133</v>
      </c>
      <c r="K60" s="42" t="s">
        <v>266</v>
      </c>
    </row>
    <row r="61" spans="3:11" ht="44" thickBot="1" x14ac:dyDescent="0.4">
      <c r="C61" s="37" t="s">
        <v>531</v>
      </c>
      <c r="D61" s="49" t="s">
        <v>74</v>
      </c>
      <c r="E61" s="98" t="s">
        <v>30</v>
      </c>
      <c r="F61" s="43">
        <v>46132</v>
      </c>
      <c r="G61" s="98" t="s">
        <v>816</v>
      </c>
      <c r="H61" s="99">
        <v>680001</v>
      </c>
      <c r="I61" s="36" t="s">
        <v>45</v>
      </c>
      <c r="J61" s="43">
        <v>46133</v>
      </c>
      <c r="K61" s="43" t="s">
        <v>266</v>
      </c>
    </row>
    <row r="62" spans="3:11" ht="73" thickBot="1" x14ac:dyDescent="0.4">
      <c r="C62" s="31" t="s">
        <v>178</v>
      </c>
      <c r="D62" s="32">
        <v>46113</v>
      </c>
      <c r="E62" s="100" t="s">
        <v>534</v>
      </c>
      <c r="F62" s="42">
        <v>46127</v>
      </c>
      <c r="G62" s="100" t="s">
        <v>216</v>
      </c>
      <c r="H62" s="35">
        <v>146769900</v>
      </c>
      <c r="I62" s="36" t="s">
        <v>45</v>
      </c>
      <c r="J62" s="42">
        <v>46133</v>
      </c>
      <c r="K62" s="42" t="s">
        <v>266</v>
      </c>
    </row>
    <row r="63" spans="3:11" ht="73" thickBot="1" x14ac:dyDescent="0.4">
      <c r="C63" s="37" t="s">
        <v>817</v>
      </c>
      <c r="D63" s="49" t="s">
        <v>627</v>
      </c>
      <c r="E63" s="98" t="s">
        <v>28</v>
      </c>
      <c r="F63" s="43">
        <v>46126</v>
      </c>
      <c r="G63" s="98" t="s">
        <v>818</v>
      </c>
      <c r="H63" s="99">
        <v>5250000</v>
      </c>
      <c r="I63" s="36" t="s">
        <v>45</v>
      </c>
      <c r="J63" s="43">
        <v>46134</v>
      </c>
      <c r="K63" s="43" t="s">
        <v>266</v>
      </c>
    </row>
    <row r="64" spans="3:11" ht="29.5" thickBot="1" x14ac:dyDescent="0.4">
      <c r="C64" s="31" t="s">
        <v>131</v>
      </c>
      <c r="D64" s="50" t="s">
        <v>564</v>
      </c>
      <c r="E64" s="100" t="s">
        <v>464</v>
      </c>
      <c r="F64" s="42">
        <v>46088</v>
      </c>
      <c r="G64" s="100" t="s">
        <v>819</v>
      </c>
      <c r="H64" s="35">
        <v>72000000</v>
      </c>
      <c r="I64" s="36" t="s">
        <v>45</v>
      </c>
      <c r="J64" s="42">
        <v>46139</v>
      </c>
      <c r="K64" s="42" t="s">
        <v>266</v>
      </c>
    </row>
    <row r="65" spans="3:11" ht="29.5" thickBot="1" x14ac:dyDescent="0.4">
      <c r="C65" s="37" t="s">
        <v>786</v>
      </c>
      <c r="D65" s="49" t="s">
        <v>74</v>
      </c>
      <c r="E65" s="98" t="s">
        <v>30</v>
      </c>
      <c r="F65" s="43">
        <v>46139</v>
      </c>
      <c r="G65" s="98" t="s">
        <v>820</v>
      </c>
      <c r="H65" s="99">
        <v>4373488</v>
      </c>
      <c r="I65" s="36" t="s">
        <v>45</v>
      </c>
      <c r="J65" s="43">
        <v>46139</v>
      </c>
      <c r="K65" s="43" t="s">
        <v>266</v>
      </c>
    </row>
    <row r="66" spans="3:11" ht="73" thickBot="1" x14ac:dyDescent="0.4">
      <c r="C66" s="31" t="s">
        <v>624</v>
      </c>
      <c r="D66" s="50" t="s">
        <v>821</v>
      </c>
      <c r="E66" s="100" t="s">
        <v>28</v>
      </c>
      <c r="F66" s="42">
        <v>46107</v>
      </c>
      <c r="G66" s="100" t="s">
        <v>196</v>
      </c>
      <c r="H66" s="35">
        <v>3024000</v>
      </c>
      <c r="I66" s="36" t="s">
        <v>45</v>
      </c>
      <c r="J66" s="42">
        <v>46140</v>
      </c>
      <c r="K66" s="42" t="s">
        <v>266</v>
      </c>
    </row>
    <row r="67" spans="3:11" ht="29.5" thickBot="1" x14ac:dyDescent="0.4">
      <c r="C67" s="37" t="s">
        <v>629</v>
      </c>
      <c r="D67" s="49" t="s">
        <v>822</v>
      </c>
      <c r="E67" s="98" t="s">
        <v>25</v>
      </c>
      <c r="F67" s="43">
        <v>46098</v>
      </c>
      <c r="G67" s="98" t="s">
        <v>823</v>
      </c>
      <c r="H67" s="99">
        <v>12000000</v>
      </c>
      <c r="I67" s="36" t="s">
        <v>45</v>
      </c>
      <c r="J67" s="43">
        <v>46140</v>
      </c>
      <c r="K67" s="43" t="s">
        <v>266</v>
      </c>
    </row>
    <row r="68" spans="3:11" ht="73" thickBot="1" x14ac:dyDescent="0.4">
      <c r="C68" s="31" t="s">
        <v>68</v>
      </c>
      <c r="D68" s="50" t="s">
        <v>824</v>
      </c>
      <c r="E68" s="100" t="s">
        <v>28</v>
      </c>
      <c r="F68" s="42">
        <v>46101</v>
      </c>
      <c r="G68" s="100" t="s">
        <v>825</v>
      </c>
      <c r="H68" s="35">
        <v>1266385</v>
      </c>
      <c r="I68" s="36" t="s">
        <v>45</v>
      </c>
      <c r="J68" s="42">
        <v>46140</v>
      </c>
      <c r="K68" s="42" t="s">
        <v>266</v>
      </c>
    </row>
    <row r="69" spans="3:11" ht="73" thickBot="1" x14ac:dyDescent="0.4">
      <c r="C69" s="37" t="s">
        <v>68</v>
      </c>
      <c r="D69" s="49" t="s">
        <v>824</v>
      </c>
      <c r="E69" s="98" t="s">
        <v>28</v>
      </c>
      <c r="F69" s="43">
        <v>46107</v>
      </c>
      <c r="G69" s="98" t="s">
        <v>826</v>
      </c>
      <c r="H69" s="99">
        <v>3894595</v>
      </c>
      <c r="I69" s="36" t="s">
        <v>45</v>
      </c>
      <c r="J69" s="43">
        <v>46140</v>
      </c>
      <c r="K69" s="43" t="s">
        <v>266</v>
      </c>
    </row>
    <row r="70" spans="3:11" ht="87.5" thickBot="1" x14ac:dyDescent="0.4">
      <c r="C70" s="31" t="s">
        <v>639</v>
      </c>
      <c r="D70" s="50" t="s">
        <v>860</v>
      </c>
      <c r="E70" s="100" t="s">
        <v>29</v>
      </c>
      <c r="F70" s="42">
        <v>46107</v>
      </c>
      <c r="G70" s="100" t="s">
        <v>827</v>
      </c>
      <c r="H70" s="35">
        <v>1727856</v>
      </c>
      <c r="I70" s="36" t="s">
        <v>45</v>
      </c>
      <c r="J70" s="42">
        <v>46140</v>
      </c>
      <c r="K70" s="42" t="s">
        <v>266</v>
      </c>
    </row>
    <row r="71" spans="3:11" ht="87.5" thickBot="1" x14ac:dyDescent="0.4">
      <c r="C71" s="37" t="s">
        <v>641</v>
      </c>
      <c r="D71" s="49" t="s">
        <v>712</v>
      </c>
      <c r="E71" s="98" t="s">
        <v>29</v>
      </c>
      <c r="F71" s="43">
        <v>46092</v>
      </c>
      <c r="G71" s="98" t="s">
        <v>828</v>
      </c>
      <c r="H71" s="99">
        <v>25500000</v>
      </c>
      <c r="I71" s="36" t="s">
        <v>45</v>
      </c>
      <c r="J71" s="43">
        <v>46140</v>
      </c>
      <c r="K71" s="43" t="s">
        <v>266</v>
      </c>
    </row>
    <row r="72" spans="3:11" ht="15" thickBot="1" x14ac:dyDescent="0.4">
      <c r="C72" s="31" t="s">
        <v>73</v>
      </c>
      <c r="D72" s="50" t="s">
        <v>74</v>
      </c>
      <c r="E72" s="100" t="s">
        <v>709</v>
      </c>
      <c r="F72" s="42">
        <v>46105</v>
      </c>
      <c r="G72" s="100" t="s">
        <v>829</v>
      </c>
      <c r="H72" s="35">
        <v>2184300</v>
      </c>
      <c r="I72" s="36" t="s">
        <v>45</v>
      </c>
      <c r="J72" s="42">
        <v>46140</v>
      </c>
      <c r="K72" s="42" t="s">
        <v>266</v>
      </c>
    </row>
    <row r="73" spans="3:11" ht="15" thickBot="1" x14ac:dyDescent="0.4">
      <c r="C73" s="37" t="s">
        <v>73</v>
      </c>
      <c r="D73" s="49" t="s">
        <v>74</v>
      </c>
      <c r="E73" s="98" t="s">
        <v>709</v>
      </c>
      <c r="F73" s="43">
        <v>46107</v>
      </c>
      <c r="G73" s="98" t="s">
        <v>830</v>
      </c>
      <c r="H73" s="99">
        <v>691499</v>
      </c>
      <c r="I73" s="36" t="s">
        <v>45</v>
      </c>
      <c r="J73" s="43">
        <v>46140</v>
      </c>
      <c r="K73" s="43" t="s">
        <v>266</v>
      </c>
    </row>
    <row r="74" spans="3:11" ht="15" thickBot="1" x14ac:dyDescent="0.4">
      <c r="C74" s="31" t="s">
        <v>73</v>
      </c>
      <c r="D74" s="50" t="s">
        <v>861</v>
      </c>
      <c r="E74" s="100" t="s">
        <v>27</v>
      </c>
      <c r="F74" s="42">
        <v>46111</v>
      </c>
      <c r="G74" s="100" t="s">
        <v>831</v>
      </c>
      <c r="H74" s="35">
        <v>79992000</v>
      </c>
      <c r="I74" s="36" t="s">
        <v>45</v>
      </c>
      <c r="J74" s="42">
        <v>46140</v>
      </c>
      <c r="K74" s="42" t="s">
        <v>266</v>
      </c>
    </row>
    <row r="75" spans="3:11" ht="87.5" thickBot="1" x14ac:dyDescent="0.4">
      <c r="C75" s="37" t="s">
        <v>832</v>
      </c>
      <c r="D75" s="49" t="s">
        <v>368</v>
      </c>
      <c r="E75" s="98" t="s">
        <v>29</v>
      </c>
      <c r="F75" s="43">
        <v>46099</v>
      </c>
      <c r="G75" s="98" t="s">
        <v>833</v>
      </c>
      <c r="H75" s="99">
        <v>13367028</v>
      </c>
      <c r="I75" s="36" t="s">
        <v>45</v>
      </c>
      <c r="J75" s="43">
        <v>46140</v>
      </c>
      <c r="K75" s="43" t="s">
        <v>266</v>
      </c>
    </row>
    <row r="76" spans="3:11" ht="29.5" thickBot="1" x14ac:dyDescent="0.4">
      <c r="C76" s="31" t="s">
        <v>125</v>
      </c>
      <c r="D76" s="50" t="s">
        <v>74</v>
      </c>
      <c r="E76" s="100" t="s">
        <v>126</v>
      </c>
      <c r="F76" s="42">
        <v>46105</v>
      </c>
      <c r="G76" s="100" t="s">
        <v>834</v>
      </c>
      <c r="H76" s="35">
        <v>2518040</v>
      </c>
      <c r="I76" s="36" t="s">
        <v>45</v>
      </c>
      <c r="J76" s="42">
        <v>46140</v>
      </c>
      <c r="K76" s="42" t="s">
        <v>266</v>
      </c>
    </row>
    <row r="77" spans="3:11" ht="73" thickBot="1" x14ac:dyDescent="0.4">
      <c r="C77" s="37" t="s">
        <v>314</v>
      </c>
      <c r="D77" s="49" t="s">
        <v>84</v>
      </c>
      <c r="E77" s="98" t="s">
        <v>28</v>
      </c>
      <c r="F77" s="43">
        <v>46128</v>
      </c>
      <c r="G77" s="98" t="s">
        <v>86</v>
      </c>
      <c r="H77" s="99">
        <v>21472335</v>
      </c>
      <c r="I77" s="36" t="s">
        <v>45</v>
      </c>
      <c r="J77" s="43">
        <v>46140</v>
      </c>
      <c r="K77" s="43" t="s">
        <v>266</v>
      </c>
    </row>
    <row r="78" spans="3:11" ht="58.5" thickBot="1" x14ac:dyDescent="0.4">
      <c r="C78" s="31" t="s">
        <v>835</v>
      </c>
      <c r="D78" s="50" t="s">
        <v>836</v>
      </c>
      <c r="E78" s="100" t="s">
        <v>496</v>
      </c>
      <c r="F78" s="42">
        <v>46083</v>
      </c>
      <c r="G78" s="100" t="s">
        <v>837</v>
      </c>
      <c r="H78" s="35">
        <v>55943873</v>
      </c>
      <c r="I78" s="36" t="s">
        <v>45</v>
      </c>
      <c r="J78" s="42">
        <v>46140</v>
      </c>
      <c r="K78" s="42" t="s">
        <v>266</v>
      </c>
    </row>
    <row r="79" spans="3:11" ht="58.5" thickBot="1" x14ac:dyDescent="0.4">
      <c r="C79" s="37" t="s">
        <v>53</v>
      </c>
      <c r="D79" s="49" t="s">
        <v>57</v>
      </c>
      <c r="E79" s="98" t="s">
        <v>468</v>
      </c>
      <c r="F79" s="43">
        <v>46113</v>
      </c>
      <c r="G79" s="98" t="s">
        <v>838</v>
      </c>
      <c r="H79" s="99">
        <v>80000</v>
      </c>
      <c r="I79" s="36" t="s">
        <v>45</v>
      </c>
      <c r="J79" s="43">
        <v>46140</v>
      </c>
      <c r="K79" s="43" t="s">
        <v>266</v>
      </c>
    </row>
    <row r="80" spans="3:11" ht="15" thickBot="1" x14ac:dyDescent="0.4">
      <c r="C80" s="31" t="s">
        <v>842</v>
      </c>
      <c r="D80" s="50" t="s">
        <v>74</v>
      </c>
      <c r="E80" s="100" t="s">
        <v>30</v>
      </c>
      <c r="F80" s="42">
        <v>46139</v>
      </c>
      <c r="G80" s="100" t="s">
        <v>182</v>
      </c>
      <c r="H80" s="35">
        <v>1800000</v>
      </c>
      <c r="I80" s="36" t="s">
        <v>45</v>
      </c>
      <c r="J80" s="42">
        <v>46140</v>
      </c>
      <c r="K80" s="42" t="s">
        <v>266</v>
      </c>
    </row>
    <row r="81" spans="3:11" ht="44" thickBot="1" x14ac:dyDescent="0.4">
      <c r="C81" s="37" t="s">
        <v>843</v>
      </c>
      <c r="D81" s="49" t="s">
        <v>74</v>
      </c>
      <c r="E81" s="98" t="s">
        <v>30</v>
      </c>
      <c r="F81" s="43">
        <v>46139</v>
      </c>
      <c r="G81" s="98" t="s">
        <v>844</v>
      </c>
      <c r="H81" s="99">
        <v>1507240</v>
      </c>
      <c r="I81" s="36" t="s">
        <v>45</v>
      </c>
      <c r="J81" s="43">
        <v>46140</v>
      </c>
      <c r="K81" s="43" t="s">
        <v>266</v>
      </c>
    </row>
    <row r="82" spans="3:11" ht="15" thickBot="1" x14ac:dyDescent="0.4">
      <c r="C82" s="31" t="s">
        <v>845</v>
      </c>
      <c r="D82" s="50" t="s">
        <v>74</v>
      </c>
      <c r="E82" s="100" t="s">
        <v>30</v>
      </c>
      <c r="F82" s="42">
        <v>46134</v>
      </c>
      <c r="G82" s="100" t="s">
        <v>846</v>
      </c>
      <c r="H82" s="35">
        <v>14280000</v>
      </c>
      <c r="I82" s="36" t="s">
        <v>45</v>
      </c>
      <c r="J82" s="42">
        <v>46140</v>
      </c>
      <c r="K82" s="42" t="s">
        <v>266</v>
      </c>
    </row>
    <row r="83" spans="3:11" ht="29.5" thickBot="1" x14ac:dyDescent="0.4">
      <c r="C83" s="37" t="s">
        <v>847</v>
      </c>
      <c r="D83" s="38">
        <v>46113</v>
      </c>
      <c r="E83" s="98" t="s">
        <v>211</v>
      </c>
      <c r="F83" s="43" t="s">
        <v>216</v>
      </c>
      <c r="G83" s="98" t="s">
        <v>216</v>
      </c>
      <c r="H83" s="99">
        <v>94000000</v>
      </c>
      <c r="I83" s="36" t="s">
        <v>45</v>
      </c>
      <c r="J83" s="43">
        <v>46142</v>
      </c>
      <c r="K83" s="43" t="s">
        <v>266</v>
      </c>
    </row>
    <row r="84" spans="3:11" ht="15" thickBot="1" x14ac:dyDescent="0.4">
      <c r="C84" s="31" t="s">
        <v>27</v>
      </c>
      <c r="D84" s="32">
        <v>46113</v>
      </c>
      <c r="E84" s="100" t="s">
        <v>27</v>
      </c>
      <c r="F84" s="42" t="s">
        <v>216</v>
      </c>
      <c r="G84" s="100" t="s">
        <v>216</v>
      </c>
      <c r="H84" s="35">
        <v>50000000</v>
      </c>
      <c r="I84" s="36" t="s">
        <v>45</v>
      </c>
      <c r="J84" s="42">
        <v>46142</v>
      </c>
      <c r="K84" s="42" t="s">
        <v>266</v>
      </c>
    </row>
    <row r="85" spans="3:11" ht="29.5" thickBot="1" x14ac:dyDescent="0.4">
      <c r="C85" s="37" t="s">
        <v>254</v>
      </c>
      <c r="D85" s="38">
        <v>46113</v>
      </c>
      <c r="E85" s="98" t="s">
        <v>34</v>
      </c>
      <c r="F85" s="43" t="s">
        <v>216</v>
      </c>
      <c r="G85" s="98" t="s">
        <v>216</v>
      </c>
      <c r="H85" s="99">
        <f>0.5%*'BALANCE ABRIL 2026'!E11</f>
        <v>28887740.276614934</v>
      </c>
      <c r="I85" s="36" t="s">
        <v>45</v>
      </c>
      <c r="J85" s="43">
        <v>46142</v>
      </c>
      <c r="K85" s="43" t="s">
        <v>266</v>
      </c>
    </row>
    <row r="86" spans="3:11" ht="73" thickBot="1" x14ac:dyDescent="0.4">
      <c r="C86" s="31" t="s">
        <v>137</v>
      </c>
      <c r="D86" s="32" t="s">
        <v>584</v>
      </c>
      <c r="E86" s="100" t="s">
        <v>534</v>
      </c>
      <c r="F86" s="42">
        <v>46142</v>
      </c>
      <c r="G86" s="100" t="s">
        <v>848</v>
      </c>
      <c r="H86" s="35">
        <v>219600953</v>
      </c>
      <c r="I86" s="36" t="s">
        <v>45</v>
      </c>
      <c r="J86" s="42">
        <v>46142</v>
      </c>
      <c r="K86" s="42" t="s">
        <v>266</v>
      </c>
    </row>
    <row r="87" spans="3:11" ht="29.5" thickBot="1" x14ac:dyDescent="0.4">
      <c r="C87" s="37" t="s">
        <v>417</v>
      </c>
      <c r="D87" s="38">
        <v>46113</v>
      </c>
      <c r="E87" s="98" t="s">
        <v>700</v>
      </c>
      <c r="F87" s="43">
        <v>46142</v>
      </c>
      <c r="G87" s="98" t="s">
        <v>216</v>
      </c>
      <c r="H87" s="99">
        <v>50699940</v>
      </c>
      <c r="I87" s="36" t="s">
        <v>45</v>
      </c>
      <c r="J87" s="43">
        <v>46142</v>
      </c>
      <c r="K87" s="43" t="s">
        <v>266</v>
      </c>
    </row>
    <row r="88" spans="3:11" ht="73" thickBot="1" x14ac:dyDescent="0.4">
      <c r="C88" s="37" t="s">
        <v>728</v>
      </c>
      <c r="D88" s="38" t="s">
        <v>729</v>
      </c>
      <c r="E88" s="98" t="s">
        <v>28</v>
      </c>
      <c r="F88" s="43">
        <v>46107</v>
      </c>
      <c r="G88" s="98" t="s">
        <v>730</v>
      </c>
      <c r="H88" s="41">
        <v>965418</v>
      </c>
      <c r="I88" s="36" t="s">
        <v>45</v>
      </c>
      <c r="J88" s="43">
        <v>46113</v>
      </c>
      <c r="K88" s="43" t="s">
        <v>265</v>
      </c>
    </row>
    <row r="89" spans="3:11" ht="29.5" thickBot="1" x14ac:dyDescent="0.4">
      <c r="C89" s="31" t="s">
        <v>171</v>
      </c>
      <c r="D89" s="32" t="s">
        <v>172</v>
      </c>
      <c r="E89" s="100" t="s">
        <v>466</v>
      </c>
      <c r="F89" s="42">
        <v>46111</v>
      </c>
      <c r="G89" s="100" t="s">
        <v>778</v>
      </c>
      <c r="H89" s="148">
        <v>7140000</v>
      </c>
      <c r="I89" s="36" t="s">
        <v>45</v>
      </c>
      <c r="J89" s="42">
        <v>46126</v>
      </c>
      <c r="K89" s="42" t="s">
        <v>265</v>
      </c>
    </row>
    <row r="90" spans="3:11" ht="29.5" thickBot="1" x14ac:dyDescent="0.4">
      <c r="C90" s="37" t="s">
        <v>107</v>
      </c>
      <c r="D90" s="38" t="s">
        <v>108</v>
      </c>
      <c r="E90" s="98" t="s">
        <v>466</v>
      </c>
      <c r="F90" s="43">
        <v>46087</v>
      </c>
      <c r="G90" s="98" t="s">
        <v>780</v>
      </c>
      <c r="H90" s="41">
        <v>4167154</v>
      </c>
      <c r="I90" s="36" t="s">
        <v>45</v>
      </c>
      <c r="J90" s="43">
        <v>46126</v>
      </c>
      <c r="K90" s="43" t="s">
        <v>265</v>
      </c>
    </row>
    <row r="91" spans="3:11" ht="29.5" thickBot="1" x14ac:dyDescent="0.4">
      <c r="C91" s="31" t="s">
        <v>80</v>
      </c>
      <c r="D91" s="32" t="s">
        <v>412</v>
      </c>
      <c r="E91" s="100" t="s">
        <v>466</v>
      </c>
      <c r="F91" s="42">
        <v>46090</v>
      </c>
      <c r="G91" s="100" t="s">
        <v>783</v>
      </c>
      <c r="H91" s="148">
        <v>3300000</v>
      </c>
      <c r="I91" s="36" t="s">
        <v>45</v>
      </c>
      <c r="J91" s="42">
        <v>46126</v>
      </c>
      <c r="K91" s="42" t="s">
        <v>265</v>
      </c>
    </row>
    <row r="92" spans="3:11" ht="29.5" thickBot="1" x14ac:dyDescent="0.4">
      <c r="C92" s="37" t="s">
        <v>276</v>
      </c>
      <c r="D92" s="38" t="s">
        <v>172</v>
      </c>
      <c r="E92" s="98" t="s">
        <v>466</v>
      </c>
      <c r="F92" s="43">
        <v>46106</v>
      </c>
      <c r="G92" s="98" t="s">
        <v>785</v>
      </c>
      <c r="H92" s="41">
        <v>2800000</v>
      </c>
      <c r="I92" s="36" t="s">
        <v>45</v>
      </c>
      <c r="J92" s="43">
        <v>46126</v>
      </c>
      <c r="K92" s="43" t="s">
        <v>265</v>
      </c>
    </row>
    <row r="93" spans="3:11" ht="73" thickBot="1" x14ac:dyDescent="0.4">
      <c r="C93" s="31" t="s">
        <v>94</v>
      </c>
      <c r="D93" s="32" t="s">
        <v>851</v>
      </c>
      <c r="E93" s="100" t="s">
        <v>28</v>
      </c>
      <c r="F93" s="42">
        <v>46101</v>
      </c>
      <c r="G93" s="100" t="s">
        <v>277</v>
      </c>
      <c r="H93" s="148">
        <v>1680000</v>
      </c>
      <c r="I93" s="36" t="s">
        <v>45</v>
      </c>
      <c r="J93" s="42">
        <v>46126</v>
      </c>
      <c r="K93" s="42" t="s">
        <v>265</v>
      </c>
    </row>
    <row r="94" spans="3:11" ht="58.5" thickBot="1" x14ac:dyDescent="0.4">
      <c r="C94" s="37" t="s">
        <v>546</v>
      </c>
      <c r="D94" s="38" t="s">
        <v>792</v>
      </c>
      <c r="E94" s="98" t="s">
        <v>468</v>
      </c>
      <c r="F94" s="43">
        <v>46119</v>
      </c>
      <c r="G94" s="98" t="s">
        <v>793</v>
      </c>
      <c r="H94" s="41">
        <v>1610966</v>
      </c>
      <c r="I94" s="36" t="s">
        <v>45</v>
      </c>
      <c r="J94" s="43">
        <v>46126</v>
      </c>
      <c r="K94" s="43" t="s">
        <v>265</v>
      </c>
    </row>
    <row r="95" spans="3:11" ht="58.5" thickBot="1" x14ac:dyDescent="0.4">
      <c r="C95" s="31" t="s">
        <v>546</v>
      </c>
      <c r="D95" s="32" t="s">
        <v>66</v>
      </c>
      <c r="E95" s="100" t="s">
        <v>468</v>
      </c>
      <c r="F95" s="42">
        <v>46119</v>
      </c>
      <c r="G95" s="100" t="s">
        <v>803</v>
      </c>
      <c r="H95" s="148">
        <v>331722</v>
      </c>
      <c r="I95" s="36" t="s">
        <v>45</v>
      </c>
      <c r="J95" s="42">
        <v>46126</v>
      </c>
      <c r="K95" s="42" t="s">
        <v>265</v>
      </c>
    </row>
    <row r="96" spans="3:11" ht="73" thickBot="1" x14ac:dyDescent="0.4">
      <c r="C96" s="37" t="s">
        <v>137</v>
      </c>
      <c r="D96" s="38" t="s">
        <v>366</v>
      </c>
      <c r="E96" s="98" t="s">
        <v>534</v>
      </c>
      <c r="F96" s="43">
        <v>46127</v>
      </c>
      <c r="G96" s="98" t="s">
        <v>805</v>
      </c>
      <c r="H96" s="41">
        <v>19555525</v>
      </c>
      <c r="I96" s="36" t="s">
        <v>45</v>
      </c>
      <c r="J96" s="43">
        <v>46127</v>
      </c>
      <c r="K96" s="43" t="s">
        <v>265</v>
      </c>
    </row>
    <row r="97" spans="3:11" ht="29.5" thickBot="1" x14ac:dyDescent="0.4">
      <c r="C97" s="31" t="s">
        <v>806</v>
      </c>
      <c r="D97" s="32" t="s">
        <v>807</v>
      </c>
      <c r="E97" s="100" t="s">
        <v>466</v>
      </c>
      <c r="F97" s="42">
        <v>46125</v>
      </c>
      <c r="G97" s="100" t="s">
        <v>808</v>
      </c>
      <c r="H97" s="148">
        <v>23800000</v>
      </c>
      <c r="I97" s="36" t="s">
        <v>45</v>
      </c>
      <c r="J97" s="42">
        <v>46128</v>
      </c>
      <c r="K97" s="42" t="s">
        <v>265</v>
      </c>
    </row>
    <row r="98" spans="3:11" ht="58.5" thickBot="1" x14ac:dyDescent="0.4">
      <c r="C98" s="31" t="s">
        <v>219</v>
      </c>
      <c r="D98" s="32" t="s">
        <v>682</v>
      </c>
      <c r="E98" s="100" t="s">
        <v>468</v>
      </c>
      <c r="F98" s="42" t="s">
        <v>216</v>
      </c>
      <c r="G98" s="100" t="s">
        <v>86</v>
      </c>
      <c r="H98" s="35">
        <v>1035000</v>
      </c>
      <c r="I98" s="36" t="s">
        <v>45</v>
      </c>
      <c r="J98" s="42">
        <v>46128</v>
      </c>
      <c r="K98" s="42" t="s">
        <v>265</v>
      </c>
    </row>
    <row r="99" spans="3:11" ht="58.5" thickBot="1" x14ac:dyDescent="0.4">
      <c r="C99" s="37" t="s">
        <v>53</v>
      </c>
      <c r="D99" s="38" t="s">
        <v>839</v>
      </c>
      <c r="E99" s="98" t="s">
        <v>468</v>
      </c>
      <c r="F99" s="43">
        <v>46117</v>
      </c>
      <c r="G99" s="98" t="s">
        <v>840</v>
      </c>
      <c r="H99" s="99">
        <v>74980</v>
      </c>
      <c r="I99" s="36" t="s">
        <v>45</v>
      </c>
      <c r="J99" s="43">
        <v>46140</v>
      </c>
      <c r="K99" s="43" t="s">
        <v>265</v>
      </c>
    </row>
    <row r="100" spans="3:11" ht="58.5" thickBot="1" x14ac:dyDescent="0.4">
      <c r="C100" s="31" t="s">
        <v>53</v>
      </c>
      <c r="D100" s="32" t="s">
        <v>54</v>
      </c>
      <c r="E100" s="100" t="s">
        <v>468</v>
      </c>
      <c r="F100" s="42">
        <v>46113</v>
      </c>
      <c r="G100" s="100" t="s">
        <v>841</v>
      </c>
      <c r="H100" s="149">
        <v>750898</v>
      </c>
      <c r="I100" s="36" t="s">
        <v>45</v>
      </c>
      <c r="J100" s="42">
        <v>46140</v>
      </c>
      <c r="K100" s="42" t="s">
        <v>265</v>
      </c>
    </row>
    <row r="101" spans="3:11" ht="58.5" thickBot="1" x14ac:dyDescent="0.4">
      <c r="C101" s="37" t="s">
        <v>219</v>
      </c>
      <c r="D101" s="38" t="s">
        <v>682</v>
      </c>
      <c r="E101" s="98" t="s">
        <v>468</v>
      </c>
      <c r="F101" s="43" t="s">
        <v>216</v>
      </c>
      <c r="G101" s="98" t="s">
        <v>86</v>
      </c>
      <c r="H101" s="41">
        <v>1080005</v>
      </c>
      <c r="I101" s="36" t="s">
        <v>45</v>
      </c>
      <c r="J101" s="43">
        <v>46142</v>
      </c>
      <c r="K101" s="43" t="s">
        <v>265</v>
      </c>
    </row>
    <row r="102" spans="3:11" ht="73" thickBot="1" x14ac:dyDescent="0.4">
      <c r="C102" s="31" t="s">
        <v>137</v>
      </c>
      <c r="D102" s="32" t="s">
        <v>366</v>
      </c>
      <c r="E102" s="100" t="s">
        <v>534</v>
      </c>
      <c r="F102" s="42">
        <v>46142</v>
      </c>
      <c r="G102" s="100" t="s">
        <v>849</v>
      </c>
      <c r="H102" s="148">
        <v>15955525</v>
      </c>
      <c r="I102" s="36" t="s">
        <v>45</v>
      </c>
      <c r="J102" s="42">
        <v>46142</v>
      </c>
      <c r="K102" s="42" t="s">
        <v>265</v>
      </c>
    </row>
    <row r="104" spans="3:11" ht="15" thickBot="1" x14ac:dyDescent="0.4"/>
    <row r="105" spans="3:11" ht="16" thickBot="1" x14ac:dyDescent="0.4">
      <c r="C105" s="184" t="s">
        <v>850</v>
      </c>
      <c r="D105" s="184"/>
      <c r="H105" s="3"/>
    </row>
    <row r="106" spans="3:11" ht="17" thickBot="1" x14ac:dyDescent="0.4">
      <c r="C106" s="144">
        <v>46113</v>
      </c>
      <c r="D106" s="145">
        <v>3660.1</v>
      </c>
      <c r="I106" s="3"/>
    </row>
    <row r="107" spans="3:11" ht="17" thickBot="1" x14ac:dyDescent="0.4">
      <c r="C107" s="144">
        <v>46114</v>
      </c>
      <c r="D107" s="145">
        <v>3675.81</v>
      </c>
    </row>
    <row r="108" spans="3:11" ht="17" thickBot="1" x14ac:dyDescent="0.4">
      <c r="C108" s="144">
        <v>46115</v>
      </c>
      <c r="D108" s="145">
        <v>3675.81</v>
      </c>
    </row>
    <row r="109" spans="3:11" ht="17" thickBot="1" x14ac:dyDescent="0.4">
      <c r="C109" s="144">
        <v>46116</v>
      </c>
      <c r="D109" s="145">
        <v>3675.81</v>
      </c>
    </row>
    <row r="110" spans="3:11" ht="17" thickBot="1" x14ac:dyDescent="0.4">
      <c r="C110" s="144">
        <v>46117</v>
      </c>
      <c r="D110" s="145">
        <v>3675.81</v>
      </c>
    </row>
    <row r="111" spans="3:11" ht="17" thickBot="1" x14ac:dyDescent="0.4">
      <c r="C111" s="144">
        <v>46118</v>
      </c>
      <c r="D111" s="145">
        <v>3675.81</v>
      </c>
    </row>
    <row r="112" spans="3:11" ht="17" thickBot="1" x14ac:dyDescent="0.4">
      <c r="C112" s="144">
        <v>46119</v>
      </c>
      <c r="D112" s="145">
        <v>3664.41</v>
      </c>
      <c r="F112" s="146"/>
    </row>
    <row r="113" spans="3:4" ht="17" thickBot="1" x14ac:dyDescent="0.4">
      <c r="C113" s="144">
        <v>46120</v>
      </c>
      <c r="D113" s="145">
        <v>3678.19</v>
      </c>
    </row>
    <row r="114" spans="3:4" ht="17" thickBot="1" x14ac:dyDescent="0.4">
      <c r="C114" s="144">
        <v>46121</v>
      </c>
      <c r="D114" s="145">
        <v>3640.63</v>
      </c>
    </row>
    <row r="115" spans="3:4" ht="17" thickBot="1" x14ac:dyDescent="0.4">
      <c r="C115" s="144">
        <v>46122</v>
      </c>
      <c r="D115" s="145">
        <v>3642.93</v>
      </c>
    </row>
    <row r="116" spans="3:4" ht="17" thickBot="1" x14ac:dyDescent="0.4">
      <c r="C116" s="144">
        <v>46123</v>
      </c>
      <c r="D116" s="145">
        <v>3631.49</v>
      </c>
    </row>
    <row r="117" spans="3:4" ht="17" thickBot="1" x14ac:dyDescent="0.4">
      <c r="C117" s="144">
        <v>46124</v>
      </c>
      <c r="D117" s="145">
        <v>3631.49</v>
      </c>
    </row>
    <row r="118" spans="3:4" ht="17" thickBot="1" x14ac:dyDescent="0.4">
      <c r="C118" s="144">
        <v>46125</v>
      </c>
      <c r="D118" s="145">
        <v>3631.49</v>
      </c>
    </row>
    <row r="119" spans="3:4" ht="17" thickBot="1" x14ac:dyDescent="0.4">
      <c r="C119" s="144">
        <v>46126</v>
      </c>
      <c r="D119" s="145">
        <v>3608.1</v>
      </c>
    </row>
    <row r="120" spans="3:4" ht="17" thickBot="1" x14ac:dyDescent="0.4">
      <c r="C120" s="144">
        <v>46127</v>
      </c>
      <c r="D120" s="145">
        <v>3578.82</v>
      </c>
    </row>
    <row r="121" spans="3:4" ht="17" thickBot="1" x14ac:dyDescent="0.4">
      <c r="C121" s="144">
        <v>46128</v>
      </c>
      <c r="D121" s="145">
        <v>3603.19</v>
      </c>
    </row>
    <row r="122" spans="3:4" ht="17" thickBot="1" x14ac:dyDescent="0.4">
      <c r="C122" s="144">
        <v>46129</v>
      </c>
      <c r="D122" s="145">
        <v>3615.1</v>
      </c>
    </row>
    <row r="123" spans="3:4" ht="17" thickBot="1" x14ac:dyDescent="0.4">
      <c r="C123" s="144">
        <v>46130</v>
      </c>
      <c r="D123" s="145">
        <v>3593.14</v>
      </c>
    </row>
    <row r="124" spans="3:4" ht="17" thickBot="1" x14ac:dyDescent="0.4">
      <c r="C124" s="144">
        <v>46131</v>
      </c>
      <c r="D124" s="145">
        <v>3593.14</v>
      </c>
    </row>
    <row r="125" spans="3:4" ht="17" thickBot="1" x14ac:dyDescent="0.4">
      <c r="C125" s="144">
        <v>46132</v>
      </c>
      <c r="D125" s="145">
        <v>3593.14</v>
      </c>
    </row>
    <row r="126" spans="3:4" ht="17" thickBot="1" x14ac:dyDescent="0.4">
      <c r="C126" s="144">
        <v>46133</v>
      </c>
      <c r="D126" s="145">
        <v>3573.3</v>
      </c>
    </row>
    <row r="127" spans="3:4" ht="17" thickBot="1" x14ac:dyDescent="0.4">
      <c r="C127" s="144">
        <v>46134</v>
      </c>
      <c r="D127" s="145">
        <v>3576.05</v>
      </c>
    </row>
    <row r="128" spans="3:4" ht="17" thickBot="1" x14ac:dyDescent="0.4">
      <c r="C128" s="144">
        <v>46135</v>
      </c>
      <c r="D128" s="145">
        <v>3568.88</v>
      </c>
    </row>
    <row r="129" spans="3:4" ht="17" thickBot="1" x14ac:dyDescent="0.4">
      <c r="C129" s="144">
        <v>46136</v>
      </c>
      <c r="D129" s="145">
        <v>3560.62</v>
      </c>
    </row>
    <row r="130" spans="3:4" ht="17" thickBot="1" x14ac:dyDescent="0.4">
      <c r="C130" s="144">
        <v>46137</v>
      </c>
      <c r="D130" s="145">
        <v>3551.17</v>
      </c>
    </row>
    <row r="131" spans="3:4" ht="17" thickBot="1" x14ac:dyDescent="0.4">
      <c r="C131" s="144">
        <v>46138</v>
      </c>
      <c r="D131" s="145">
        <v>3551.17</v>
      </c>
    </row>
    <row r="132" spans="3:4" ht="17" thickBot="1" x14ac:dyDescent="0.4">
      <c r="C132" s="144">
        <v>46139</v>
      </c>
      <c r="D132" s="145">
        <v>3551.17</v>
      </c>
    </row>
    <row r="133" spans="3:4" ht="17" thickBot="1" x14ac:dyDescent="0.4">
      <c r="C133" s="144">
        <v>46140</v>
      </c>
      <c r="D133" s="145">
        <v>3593.17</v>
      </c>
    </row>
    <row r="134" spans="3:4" ht="17" thickBot="1" x14ac:dyDescent="0.4">
      <c r="C134" s="144">
        <v>46141</v>
      </c>
      <c r="D134" s="145">
        <v>3633.76</v>
      </c>
    </row>
    <row r="135" spans="3:4" ht="17" thickBot="1" x14ac:dyDescent="0.4">
      <c r="C135" s="144">
        <v>46142</v>
      </c>
      <c r="D135" s="145">
        <v>3621.86</v>
      </c>
    </row>
    <row r="136" spans="3:4" ht="15" thickBot="1" x14ac:dyDescent="0.4">
      <c r="C136" s="147" t="s">
        <v>214</v>
      </c>
      <c r="D136" s="147">
        <f>AVERAGE(D106:D135)</f>
        <v>3617.5186666666659</v>
      </c>
    </row>
  </sheetData>
  <autoFilter ref="C2:K102" xr:uid="{2EF93564-3F77-40E9-B9EA-F4C11C4F67AA}">
    <sortState xmlns:xlrd2="http://schemas.microsoft.com/office/spreadsheetml/2017/richdata2" ref="C3:K102">
      <sortCondition ref="K2:K102"/>
    </sortState>
  </autoFilter>
  <mergeCells count="1">
    <mergeCell ref="C105:D10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BALANCE ENERO 2026</vt:lpstr>
      <vt:lpstr>COSTOS Y GASTOS ENERO 2026</vt:lpstr>
      <vt:lpstr>BALANCE FEBRERO 2026</vt:lpstr>
      <vt:lpstr>COSTOS Y GASTOS FEBRERO 2026</vt:lpstr>
      <vt:lpstr>BALANCE MARZO 2026</vt:lpstr>
      <vt:lpstr>COSTOS Y GASTOS MARZO 2026</vt:lpstr>
      <vt:lpstr>BALANCE ABRIL 2026</vt:lpstr>
      <vt:lpstr>COSTOS Y GASTOS ABRIL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santiago morales</cp:lastModifiedBy>
  <dcterms:created xsi:type="dcterms:W3CDTF">2026-02-11T00:57:13Z</dcterms:created>
  <dcterms:modified xsi:type="dcterms:W3CDTF">2026-05-11T16:39:19Z</dcterms:modified>
</cp:coreProperties>
</file>